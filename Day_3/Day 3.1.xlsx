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_4\Desktop\Excel 8 to 10\"/>
    </mc:Choice>
  </mc:AlternateContent>
  <xr:revisionPtr revIDLastSave="0" documentId="13_ncr:1_{43997E26-CFB9-4B68-BF92-CD7D1830A6ED}" xr6:coauthVersionLast="47" xr6:coauthVersionMax="47" xr10:uidLastSave="{00000000-0000-0000-0000-000000000000}"/>
  <bookViews>
    <workbookView xWindow="-120" yWindow="-120" windowWidth="20730" windowHeight="11160" xr2:uid="{24836FEB-B1D7-425C-8E26-9A93CA932E71}"/>
  </bookViews>
  <sheets>
    <sheet name="ifs" sheetId="1" r:id="rId1"/>
    <sheet name="big 5" sheetId="3" r:id="rId2"/>
    <sheet name="big 5 + ifs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K14" i="2"/>
  <c r="K13" i="2"/>
  <c r="L13" i="2" s="1"/>
  <c r="K11" i="2"/>
  <c r="K10" i="2"/>
  <c r="K8" i="2"/>
  <c r="K7" i="2"/>
  <c r="L5" i="2"/>
  <c r="K5" i="2"/>
  <c r="K4" i="2"/>
  <c r="J15" i="3"/>
  <c r="K13" i="3"/>
  <c r="J13" i="3"/>
  <c r="K10" i="3"/>
  <c r="J10" i="3"/>
  <c r="J8" i="3"/>
  <c r="M7" i="3"/>
  <c r="L7" i="3"/>
  <c r="J7" i="3"/>
  <c r="M4" i="3"/>
  <c r="L4" i="3"/>
  <c r="J4" i="3"/>
  <c r="J6" i="1" a="1"/>
  <c r="J6" i="1"/>
  <c r="J7" i="1" a="1"/>
  <c r="J7" i="1"/>
  <c r="J8" i="1" a="1"/>
  <c r="J8" i="1"/>
  <c r="J9" i="1" a="1"/>
  <c r="J9" i="1"/>
  <c r="J10" i="1" a="1"/>
  <c r="J10" i="1" s="1"/>
  <c r="J11" i="1" a="1"/>
  <c r="J11" i="1"/>
  <c r="J12" i="1" a="1"/>
  <c r="J12" i="1" s="1"/>
  <c r="J13" i="1" a="1"/>
  <c r="J13" i="1"/>
  <c r="J14" i="1" a="1"/>
  <c r="J14" i="1" s="1"/>
  <c r="J5" i="1" a="1"/>
  <c r="J5" i="1" s="1"/>
  <c r="H5" i="1"/>
  <c r="I5" i="1"/>
  <c r="I6" i="1"/>
  <c r="I7" i="1"/>
  <c r="I8" i="1"/>
  <c r="I9" i="1"/>
  <c r="I10" i="1"/>
  <c r="I11" i="1"/>
  <c r="I12" i="1"/>
  <c r="I13" i="1"/>
  <c r="I14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<sst xmlns="http://schemas.openxmlformats.org/spreadsheetml/2006/main" count="115" uniqueCount="42">
  <si>
    <t>if</t>
  </si>
  <si>
    <t>if(if)</t>
  </si>
  <si>
    <t>Sr. No.</t>
  </si>
  <si>
    <t>Name</t>
  </si>
  <si>
    <t>Salary</t>
  </si>
  <si>
    <t>Sales</t>
  </si>
  <si>
    <t>Rating</t>
  </si>
  <si>
    <t>500 bonus</t>
  </si>
  <si>
    <t>Kala</t>
  </si>
  <si>
    <t>Mala</t>
  </si>
  <si>
    <t>Bala</t>
  </si>
  <si>
    <t>Bonus</t>
  </si>
  <si>
    <t>Lala</t>
  </si>
  <si>
    <t>Bheem</t>
  </si>
  <si>
    <t>Naruto</t>
  </si>
  <si>
    <t>One punch Man</t>
  </si>
  <si>
    <t>Arjun</t>
  </si>
  <si>
    <t>Tom</t>
  </si>
  <si>
    <t>ifs</t>
  </si>
  <si>
    <t>Gara</t>
  </si>
  <si>
    <t>max</t>
  </si>
  <si>
    <t>maxifs</t>
  </si>
  <si>
    <t>Dept</t>
  </si>
  <si>
    <t>Hr</t>
  </si>
  <si>
    <t>Fin</t>
  </si>
  <si>
    <t>IT</t>
  </si>
  <si>
    <t>CS</t>
  </si>
  <si>
    <t>What is Total sale of rating 4 and 5</t>
  </si>
  <si>
    <t>Find the total sales</t>
  </si>
  <si>
    <t>Find max and Min Sales</t>
  </si>
  <si>
    <t>Find Count of person</t>
  </si>
  <si>
    <t>Find the count of person using Name column</t>
  </si>
  <si>
    <t>counta</t>
  </si>
  <si>
    <t>count</t>
  </si>
  <si>
    <t>mix</t>
  </si>
  <si>
    <t>min</t>
  </si>
  <si>
    <t>sum</t>
  </si>
  <si>
    <t>What is total sales of Hr Dept</t>
  </si>
  <si>
    <t>What is the min and max sales of Hr Dept</t>
  </si>
  <si>
    <t>What is the count of rating 4</t>
  </si>
  <si>
    <t>sumifs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</si>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</sst>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4E]* #,##0.00_ ;_ [$₹-44E]* \-#,##0.00_ ;_ [$₹-44E]* &quot;-&quot;??_ ;_ @_ 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C5C3-9699-4413-A0BB-BE57811A013D}">
  <dimension ref="B3:M14"/>
  <sheetViews>
    <sheetView tabSelected="1" topLeftCell="A3" zoomScale="145" zoomScaleNormal="145" workbookViewId="0">
      <selection activeCell="E9" sqref="E9"/>
    </sheetView>
  </sheetViews>
  <sheetFormatPr defaultRowHeight="15" x14ac:dyDescent="0.25"/>
  <cols>
    <col min="3" max="3" width="19" bestFit="1" customWidth="1"/>
    <col min="4" max="4" width="15.42578125" bestFit="1" customWidth="1"/>
    <col min="5" max="5" width="16.85546875" bestFit="1" customWidth="1"/>
    <col min="6" max="6" width="9.85546875" bestFit="1" customWidth="1"/>
    <col min="7" max="7" width="13" bestFit="1" customWidth="1"/>
  </cols>
  <sheetData>
    <row r="3" spans="2:13" ht="18.75" x14ac:dyDescent="0.3">
      <c r="G3" s="7" t="s">
        <v>0</v>
      </c>
      <c r="H3" s="7" t="s">
        <v>1</v>
      </c>
      <c r="I3" s="7"/>
      <c r="J3" s="7" t="s">
        <v>18</v>
      </c>
      <c r="K3" s="7"/>
    </row>
    <row r="4" spans="2:13" ht="18.75" x14ac:dyDescent="0.25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/>
      <c r="I4" s="8"/>
      <c r="J4" s="8"/>
    </row>
    <row r="5" spans="2:13" ht="18.75" x14ac:dyDescent="0.3">
      <c r="B5" s="2">
        <v>1</v>
      </c>
      <c r="C5" s="3" t="s">
        <v>8</v>
      </c>
      <c r="D5" s="4">
        <v>43239.601386245988</v>
      </c>
      <c r="E5" s="4">
        <v>108470</v>
      </c>
      <c r="F5" s="5">
        <v>123243</v>
      </c>
      <c r="G5" s="5" t="str">
        <f>IF(F5=5, 500, "no")</f>
        <v>no</v>
      </c>
      <c r="H5" s="5">
        <f>IF(F5=5, 500, IF(F5=4, 400, IF(F5=3, 300, IF(F5=2, 200, 100))))</f>
        <v>100</v>
      </c>
      <c r="I5">
        <f>IF(F5=$L$8,$M$8,     IF(F5=$L$9, $M$9,     IF(F5=$L$10, $M$10,     IF(F5=$L$11, $M$11, $M$12))))</f>
        <v>100</v>
      </c>
      <c r="J5" s="7" cm="1">
        <f t="array" ref="J5">_xlfn.IFS(F5=$L$8, $M$8,    F5=$L$9,$M$9,   F5=$L$10,$M$10,F5=$L$11, $M$11,     F5=$L$12,  $M$12,  TRUE, 0)</f>
        <v>0</v>
      </c>
    </row>
    <row r="6" spans="2:13" ht="18.75" x14ac:dyDescent="0.3">
      <c r="B6" s="2">
        <v>2</v>
      </c>
      <c r="C6" s="3" t="s">
        <v>9</v>
      </c>
      <c r="D6" s="4">
        <v>59565.415598806983</v>
      </c>
      <c r="E6" s="4">
        <v>260754</v>
      </c>
      <c r="F6" s="5">
        <v>5</v>
      </c>
      <c r="G6" s="5">
        <f t="shared" ref="G6:G14" si="0">IF(F6=5, 500, "no")</f>
        <v>500</v>
      </c>
      <c r="H6" s="5">
        <f>IF(F6=5, 500, IF(F6=4, 400, IF(F6=3, 300, IF(F6=2, 200, 100))))</f>
        <v>500</v>
      </c>
      <c r="I6">
        <f t="shared" ref="I6:I14" si="1">IF(F6=$L$8,$M$8,     IF(F6=$L$9, $M$9,     IF(F6=$L$10, $M$10,     IF(F6=$L$11, $M$11, $M$12))))</f>
        <v>500</v>
      </c>
      <c r="J6" s="7" cm="1">
        <f t="array" ref="J6">_xlfn.IFS(F6=$L$8, $M$8,    F6=$L$9,$M$9,   F6=$L$10,$M$10,F6=$L$11, $M$11,     F6=$L$12,  $M$12,  TRUE, 0)</f>
        <v>500</v>
      </c>
    </row>
    <row r="7" spans="2:13" ht="18.75" x14ac:dyDescent="0.3">
      <c r="B7" s="2">
        <v>3</v>
      </c>
      <c r="C7" s="3" t="s">
        <v>10</v>
      </c>
      <c r="D7" s="4">
        <v>59888.536791662707</v>
      </c>
      <c r="E7" s="4">
        <v>315766</v>
      </c>
      <c r="F7" s="5">
        <v>4</v>
      </c>
      <c r="G7" s="5" t="str">
        <f t="shared" si="0"/>
        <v>no</v>
      </c>
      <c r="H7" s="5">
        <f t="shared" ref="H7:H14" si="2">IF(F7=5, 500, IF(F7=4, 400, IF(F7=3, 300, IF(F7=2, 200, 100))))</f>
        <v>400</v>
      </c>
      <c r="I7">
        <f t="shared" si="1"/>
        <v>400</v>
      </c>
      <c r="J7" s="7" cm="1">
        <f t="array" ref="J7">_xlfn.IFS(F7=$L$8, $M$8,    F7=$L$9,$M$9,   F7=$L$10,$M$10,F7=$L$11, $M$11,     F7=$L$12,  $M$12,  TRUE, 0)</f>
        <v>400</v>
      </c>
      <c r="L7" s="1" t="s">
        <v>6</v>
      </c>
      <c r="M7" s="1" t="s">
        <v>11</v>
      </c>
    </row>
    <row r="8" spans="2:13" ht="18.75" x14ac:dyDescent="0.3">
      <c r="B8" s="2">
        <v>4</v>
      </c>
      <c r="C8" s="3" t="s">
        <v>12</v>
      </c>
      <c r="D8" s="4">
        <v>55988.577219009661</v>
      </c>
      <c r="E8" s="4">
        <v>116896</v>
      </c>
      <c r="F8" s="5">
        <v>0</v>
      </c>
      <c r="G8" s="5" t="str">
        <f t="shared" si="0"/>
        <v>no</v>
      </c>
      <c r="H8" s="5">
        <f t="shared" si="2"/>
        <v>100</v>
      </c>
      <c r="I8">
        <f t="shared" si="1"/>
        <v>100</v>
      </c>
      <c r="J8" s="7" cm="1">
        <f t="array" ref="J8">_xlfn.IFS(F8=$L$8, $M$8,    F8=$L$9,$M$9,   F8=$L$10,$M$10,F8=$L$11, $M$11,     F8=$L$12,  $M$12,  TRUE, 0)</f>
        <v>0</v>
      </c>
      <c r="L8" s="6">
        <v>5</v>
      </c>
      <c r="M8" s="6">
        <v>500</v>
      </c>
    </row>
    <row r="9" spans="2:13" ht="18.75" x14ac:dyDescent="0.3">
      <c r="B9" s="2">
        <v>5</v>
      </c>
      <c r="C9" s="3"/>
      <c r="D9" s="4">
        <v>79349.402988998598</v>
      </c>
      <c r="E9" s="4">
        <v>297727</v>
      </c>
      <c r="F9" s="5">
        <v>3</v>
      </c>
      <c r="G9" s="5" t="str">
        <f t="shared" si="0"/>
        <v>no</v>
      </c>
      <c r="H9" s="5">
        <f t="shared" si="2"/>
        <v>300</v>
      </c>
      <c r="I9">
        <f t="shared" si="1"/>
        <v>300</v>
      </c>
      <c r="J9" s="7" cm="1">
        <f t="array" ref="J9">_xlfn.IFS(F9=$L$8, $M$8,    F9=$L$9,$M$9,   F9=$L$10,$M$10,F9=$L$11, $M$11,     F9=$L$12,  $M$12,  TRUE, 0)</f>
        <v>300</v>
      </c>
      <c r="L9" s="6">
        <v>4</v>
      </c>
      <c r="M9" s="6">
        <v>400</v>
      </c>
    </row>
    <row r="10" spans="2:13" ht="18.75" x14ac:dyDescent="0.3">
      <c r="B10" s="2">
        <v>6</v>
      </c>
      <c r="C10" s="3" t="s">
        <v>13</v>
      </c>
      <c r="D10" s="4">
        <v>2043.3473441994754</v>
      </c>
      <c r="E10" s="4">
        <v>237985</v>
      </c>
      <c r="F10" s="5">
        <v>1</v>
      </c>
      <c r="G10" s="5" t="str">
        <f t="shared" si="0"/>
        <v>no</v>
      </c>
      <c r="H10" s="5">
        <f t="shared" si="2"/>
        <v>100</v>
      </c>
      <c r="I10">
        <f t="shared" si="1"/>
        <v>100</v>
      </c>
      <c r="J10" s="7" cm="1">
        <f t="array" ref="J10">_xlfn.IFS(F10=$L$8, $M$8,    F10=$L$9,$M$9,   F10=$L$10,$M$10,F10=$L$11, $M$11,     F10=$L$12,  $M$12,  TRUE, 0)</f>
        <v>100</v>
      </c>
      <c r="L10" s="6">
        <v>3</v>
      </c>
      <c r="M10" s="6">
        <v>300</v>
      </c>
    </row>
    <row r="11" spans="2:13" ht="18.75" x14ac:dyDescent="0.3">
      <c r="B11" s="2">
        <v>7</v>
      </c>
      <c r="C11" s="3" t="s">
        <v>14</v>
      </c>
      <c r="D11" s="4">
        <v>87119.019178114904</v>
      </c>
      <c r="E11" s="4">
        <v>474815</v>
      </c>
      <c r="F11" s="5">
        <v>5</v>
      </c>
      <c r="G11" s="5">
        <f t="shared" si="0"/>
        <v>500</v>
      </c>
      <c r="H11" s="5">
        <f t="shared" si="2"/>
        <v>500</v>
      </c>
      <c r="I11">
        <f t="shared" si="1"/>
        <v>500</v>
      </c>
      <c r="J11" s="7" cm="1">
        <f t="array" ref="J11">_xlfn.IFS(F11=$L$8, $M$8,    F11=$L$9,$M$9,   F11=$L$10,$M$10,F11=$L$11, $M$11,     F11=$L$12,  $M$12,  TRUE, 0)</f>
        <v>500</v>
      </c>
      <c r="L11" s="6">
        <v>2</v>
      </c>
      <c r="M11" s="6">
        <v>200</v>
      </c>
    </row>
    <row r="12" spans="2:13" ht="18.75" x14ac:dyDescent="0.3">
      <c r="B12" s="2">
        <v>8</v>
      </c>
      <c r="C12" s="3" t="s">
        <v>15</v>
      </c>
      <c r="D12" s="4">
        <v>11801.005585600511</v>
      </c>
      <c r="E12" s="4">
        <v>160632</v>
      </c>
      <c r="F12" s="5">
        <v>2</v>
      </c>
      <c r="G12" s="5" t="str">
        <f t="shared" si="0"/>
        <v>no</v>
      </c>
      <c r="H12" s="5">
        <f t="shared" si="2"/>
        <v>200</v>
      </c>
      <c r="I12">
        <f t="shared" si="1"/>
        <v>200</v>
      </c>
      <c r="J12" s="7" cm="1">
        <f t="array" ref="J12">_xlfn.IFS(F12=$L$8, $M$8,    F12=$L$9,$M$9,   F12=$L$10,$M$10,F12=$L$11, $M$11,     F12=$L$12,  $M$12,  TRUE, 0)</f>
        <v>200</v>
      </c>
      <c r="L12" s="6">
        <v>1</v>
      </c>
      <c r="M12" s="6">
        <v>100</v>
      </c>
    </row>
    <row r="13" spans="2:13" ht="18.75" x14ac:dyDescent="0.3">
      <c r="B13" s="2">
        <v>9</v>
      </c>
      <c r="C13" s="3" t="s">
        <v>16</v>
      </c>
      <c r="D13" s="4">
        <v>98464.797331217196</v>
      </c>
      <c r="E13" s="4">
        <v>272298</v>
      </c>
      <c r="F13" s="5">
        <v>3</v>
      </c>
      <c r="G13" s="5" t="str">
        <f t="shared" si="0"/>
        <v>no</v>
      </c>
      <c r="H13" s="5">
        <f t="shared" si="2"/>
        <v>300</v>
      </c>
      <c r="I13">
        <f t="shared" si="1"/>
        <v>300</v>
      </c>
      <c r="J13" s="7" cm="1">
        <f t="array" ref="J13">_xlfn.IFS(F13=$L$8, $M$8,    F13=$L$9,$M$9,   F13=$L$10,$M$10,F13=$L$11, $M$11,     F13=$L$12,  $M$12,  TRUE, 0)</f>
        <v>300</v>
      </c>
    </row>
    <row r="14" spans="2:13" ht="18.75" x14ac:dyDescent="0.3">
      <c r="B14" s="2">
        <v>10</v>
      </c>
      <c r="C14" s="3" t="s">
        <v>17</v>
      </c>
      <c r="D14" s="4">
        <v>10419.377982777856</v>
      </c>
      <c r="E14" s="4">
        <v>137227</v>
      </c>
      <c r="F14" s="5">
        <v>2</v>
      </c>
      <c r="G14" s="5" t="str">
        <f t="shared" si="0"/>
        <v>no</v>
      </c>
      <c r="H14" s="5">
        <f t="shared" si="2"/>
        <v>200</v>
      </c>
      <c r="I14">
        <f t="shared" si="1"/>
        <v>200</v>
      </c>
      <c r="J14" s="7" cm="1">
        <f t="array" ref="J14">_xlfn.IFS(F14=$L$8, $M$8,    F14=$L$9,$M$9,   F14=$L$10,$M$10,F14=$L$11, $M$11,     F14=$L$12,  $M$12,  TRUE, 0)</f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EABD-DB43-431B-82F5-8AF408E84B8C}">
  <dimension ref="B2:M15"/>
  <sheetViews>
    <sheetView zoomScale="115" zoomScaleNormal="115" workbookViewId="0">
      <selection activeCell="G9" sqref="G9"/>
    </sheetView>
  </sheetViews>
  <sheetFormatPr defaultRowHeight="15" x14ac:dyDescent="0.25"/>
  <cols>
    <col min="2" max="2" width="8.5703125" bestFit="1" customWidth="1"/>
    <col min="3" max="3" width="19" bestFit="1" customWidth="1"/>
    <col min="4" max="4" width="15.42578125" bestFit="1" customWidth="1"/>
    <col min="5" max="5" width="16.85546875" bestFit="1" customWidth="1"/>
    <col min="6" max="6" width="8.42578125" bestFit="1" customWidth="1"/>
    <col min="7" max="7" width="6.7109375" bestFit="1" customWidth="1"/>
    <col min="10" max="10" width="14.7109375" bestFit="1" customWidth="1"/>
    <col min="12" max="12" width="13" bestFit="1" customWidth="1"/>
    <col min="13" max="13" width="14.7109375" bestFit="1" customWidth="1"/>
  </cols>
  <sheetData>
    <row r="2" spans="2:13" ht="18.75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22</v>
      </c>
    </row>
    <row r="3" spans="2:13" ht="18.75" x14ac:dyDescent="0.3">
      <c r="B3" s="2">
        <v>1</v>
      </c>
      <c r="C3" s="3" t="s">
        <v>8</v>
      </c>
      <c r="D3" s="4">
        <v>43239.601386245988</v>
      </c>
      <c r="E3" s="4">
        <v>108470</v>
      </c>
      <c r="F3" s="5">
        <v>5</v>
      </c>
      <c r="G3" s="5" t="s">
        <v>23</v>
      </c>
      <c r="J3" t="s">
        <v>28</v>
      </c>
    </row>
    <row r="4" spans="2:13" ht="18.75" x14ac:dyDescent="0.3">
      <c r="B4" s="2">
        <v>2</v>
      </c>
      <c r="C4" s="3" t="s">
        <v>9</v>
      </c>
      <c r="D4" s="4">
        <v>59565.415598806983</v>
      </c>
      <c r="E4" s="4">
        <v>260754</v>
      </c>
      <c r="F4" s="5">
        <v>5</v>
      </c>
      <c r="G4" s="5" t="s">
        <v>24</v>
      </c>
      <c r="I4" s="1" t="s">
        <v>36</v>
      </c>
      <c r="J4" s="9">
        <f>SUM(E3:E12)</f>
        <v>2382570</v>
      </c>
      <c r="L4" s="9">
        <f>SUM(D3:D12)</f>
        <v>507879.08140663389</v>
      </c>
      <c r="M4" s="9">
        <f>SUM(E3:E7,E11:E12)</f>
        <v>1509138</v>
      </c>
    </row>
    <row r="5" spans="2:13" ht="18.75" x14ac:dyDescent="0.3">
      <c r="B5" s="2">
        <v>3</v>
      </c>
      <c r="C5" s="3" t="s">
        <v>10</v>
      </c>
      <c r="D5" s="4">
        <v>59888.536791662707</v>
      </c>
      <c r="E5" s="4">
        <v>315766</v>
      </c>
      <c r="F5" s="5">
        <v>4</v>
      </c>
      <c r="G5" s="5" t="s">
        <v>23</v>
      </c>
    </row>
    <row r="6" spans="2:13" ht="18.75" x14ac:dyDescent="0.3">
      <c r="B6" s="2">
        <v>4</v>
      </c>
      <c r="C6" s="3"/>
      <c r="D6" s="4">
        <v>55988.577219009661</v>
      </c>
      <c r="E6" s="4">
        <v>116896</v>
      </c>
      <c r="F6" s="5">
        <v>0</v>
      </c>
      <c r="G6" s="5" t="s">
        <v>23</v>
      </c>
      <c r="J6" t="s">
        <v>29</v>
      </c>
    </row>
    <row r="7" spans="2:13" ht="18.75" x14ac:dyDescent="0.3">
      <c r="B7" s="2">
        <v>5</v>
      </c>
      <c r="C7" s="3" t="s">
        <v>19</v>
      </c>
      <c r="D7" s="4">
        <v>79349.402988998598</v>
      </c>
      <c r="E7" s="4">
        <v>297727</v>
      </c>
      <c r="F7" s="5">
        <v>3</v>
      </c>
      <c r="G7" s="5" t="s">
        <v>24</v>
      </c>
      <c r="I7" s="1" t="s">
        <v>34</v>
      </c>
      <c r="J7" s="9">
        <f>MAX(E3:E12)</f>
        <v>474815</v>
      </c>
      <c r="L7" s="9">
        <f>MIN(D3:D12)</f>
        <v>2043.3473441994754</v>
      </c>
      <c r="M7">
        <f>MAX(F3:F7,F11:F12)</f>
        <v>5</v>
      </c>
    </row>
    <row r="8" spans="2:13" ht="18.75" x14ac:dyDescent="0.3">
      <c r="B8" s="2">
        <v>6</v>
      </c>
      <c r="C8" s="3" t="s">
        <v>13</v>
      </c>
      <c r="D8" s="4">
        <v>2043.3473441994754</v>
      </c>
      <c r="E8" s="4">
        <v>237985</v>
      </c>
      <c r="F8" s="5">
        <v>1</v>
      </c>
      <c r="G8" s="5" t="s">
        <v>25</v>
      </c>
      <c r="I8" s="1" t="s">
        <v>35</v>
      </c>
      <c r="J8">
        <f>MIN(F3:F5,F7:F8,F12)</f>
        <v>1</v>
      </c>
    </row>
    <row r="9" spans="2:13" ht="18.75" x14ac:dyDescent="0.3">
      <c r="B9" s="2">
        <v>7</v>
      </c>
      <c r="C9" s="3"/>
      <c r="D9" s="4">
        <v>87119.019178114904</v>
      </c>
      <c r="E9" s="4">
        <v>474815</v>
      </c>
      <c r="F9" s="5">
        <v>5</v>
      </c>
      <c r="G9" s="5" t="s">
        <v>26</v>
      </c>
      <c r="J9" t="s">
        <v>30</v>
      </c>
    </row>
    <row r="10" spans="2:13" ht="18.75" x14ac:dyDescent="0.3">
      <c r="B10" s="2">
        <v>8</v>
      </c>
      <c r="C10" s="3" t="s">
        <v>15</v>
      </c>
      <c r="D10" s="4">
        <v>11801.005585600511</v>
      </c>
      <c r="E10" s="4">
        <v>160632</v>
      </c>
      <c r="F10" s="5">
        <v>4</v>
      </c>
      <c r="G10" s="5" t="s">
        <v>25</v>
      </c>
      <c r="I10" s="1" t="s">
        <v>33</v>
      </c>
      <c r="J10">
        <f>COUNT(B3:B12)</f>
        <v>10</v>
      </c>
      <c r="K10">
        <f>COUNT(C3:C12)</f>
        <v>0</v>
      </c>
    </row>
    <row r="11" spans="2:13" ht="18.75" x14ac:dyDescent="0.3">
      <c r="B11" s="2">
        <v>9</v>
      </c>
      <c r="C11" s="3" t="s">
        <v>16</v>
      </c>
      <c r="D11" s="4">
        <v>98464.797331217196</v>
      </c>
      <c r="E11" s="4">
        <v>272298</v>
      </c>
      <c r="F11" s="5">
        <v>3</v>
      </c>
      <c r="G11" s="5" t="s">
        <v>26</v>
      </c>
    </row>
    <row r="12" spans="2:13" ht="18.75" x14ac:dyDescent="0.3">
      <c r="B12" s="2">
        <v>10</v>
      </c>
      <c r="C12" s="3" t="s">
        <v>17</v>
      </c>
      <c r="D12" s="4">
        <v>10419.377982777856</v>
      </c>
      <c r="E12" s="4">
        <v>137227</v>
      </c>
      <c r="F12" s="5">
        <v>2</v>
      </c>
      <c r="G12" s="5" t="s">
        <v>25</v>
      </c>
      <c r="J12" t="s">
        <v>31</v>
      </c>
    </row>
    <row r="13" spans="2:13" ht="18.75" x14ac:dyDescent="0.25">
      <c r="I13" s="1" t="s">
        <v>32</v>
      </c>
      <c r="J13">
        <f>COUNTA(C3:C12)</f>
        <v>8</v>
      </c>
      <c r="K13">
        <f>COUNTA(B3:B12)</f>
        <v>10</v>
      </c>
    </row>
    <row r="15" spans="2:13" x14ac:dyDescent="0.25">
      <c r="J15">
        <f>COUNTBLANK(C3:C12)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EB97-E846-4F85-B122-28E843B4155C}">
  <dimension ref="B2:M14"/>
  <sheetViews>
    <sheetView zoomScale="130" zoomScaleNormal="130" workbookViewId="0">
      <selection activeCell="B2" sqref="B2:G12"/>
    </sheetView>
  </sheetViews>
  <sheetFormatPr defaultRowHeight="15" x14ac:dyDescent="0.25"/>
  <cols>
    <col min="2" max="2" width="8.5703125" bestFit="1" customWidth="1"/>
    <col min="3" max="3" width="19" bestFit="1" customWidth="1"/>
    <col min="4" max="4" width="15.42578125" bestFit="1" customWidth="1"/>
    <col min="5" max="5" width="16.85546875" bestFit="1" customWidth="1"/>
    <col min="6" max="6" width="14.7109375" bestFit="1" customWidth="1"/>
    <col min="10" max="10" width="15.42578125" bestFit="1" customWidth="1"/>
    <col min="11" max="12" width="14.7109375" bestFit="1" customWidth="1"/>
    <col min="13" max="13" width="11.85546875" bestFit="1" customWidth="1"/>
  </cols>
  <sheetData>
    <row r="2" spans="2:13" ht="18.75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22</v>
      </c>
    </row>
    <row r="3" spans="2:13" ht="18.75" x14ac:dyDescent="0.3">
      <c r="B3" s="2">
        <v>1</v>
      </c>
      <c r="C3" s="3" t="s">
        <v>8</v>
      </c>
      <c r="D3" s="4">
        <v>43239.601386245988</v>
      </c>
      <c r="E3" s="4">
        <v>108470</v>
      </c>
      <c r="F3" s="5">
        <v>5</v>
      </c>
      <c r="G3" s="5" t="s">
        <v>23</v>
      </c>
      <c r="J3" s="7"/>
      <c r="K3" t="s">
        <v>37</v>
      </c>
    </row>
    <row r="4" spans="2:13" ht="18.75" x14ac:dyDescent="0.3">
      <c r="B4" s="2">
        <v>2</v>
      </c>
      <c r="C4" s="3" t="s">
        <v>9</v>
      </c>
      <c r="D4" s="4">
        <v>59565.415598806983</v>
      </c>
      <c r="E4" s="4">
        <v>260754</v>
      </c>
      <c r="F4" s="5">
        <v>5</v>
      </c>
      <c r="G4" s="5" t="s">
        <v>24</v>
      </c>
      <c r="J4" s="10" t="s">
        <v>36</v>
      </c>
      <c r="K4" s="11">
        <f>SUM(E3:E12)</f>
        <v>2382570</v>
      </c>
      <c r="M4" s="9"/>
    </row>
    <row r="5" spans="2:13" ht="18.75" x14ac:dyDescent="0.3">
      <c r="B5" s="2">
        <v>3</v>
      </c>
      <c r="C5" s="3" t="s">
        <v>10</v>
      </c>
      <c r="D5" s="4">
        <v>59888.536791662707</v>
      </c>
      <c r="E5" s="4">
        <v>315766</v>
      </c>
      <c r="F5" s="5">
        <v>4</v>
      </c>
      <c r="G5" s="5" t="s">
        <v>23</v>
      </c>
      <c r="J5" s="10" t="s">
        <v>40</v>
      </c>
      <c r="K5" s="12">
        <f>SUMIFS(E3:E12, G3:G12,"Hr")</f>
        <v>541132</v>
      </c>
      <c r="L5">
        <f>SUMIFS(E3:E12,F3:F12,0)</f>
        <v>389194</v>
      </c>
    </row>
    <row r="6" spans="2:13" ht="18.75" x14ac:dyDescent="0.3">
      <c r="B6" s="2">
        <v>4</v>
      </c>
      <c r="C6" s="3" t="s">
        <v>12</v>
      </c>
      <c r="D6" s="4">
        <v>55988.577219009661</v>
      </c>
      <c r="E6" s="4">
        <v>116896</v>
      </c>
      <c r="F6" s="5">
        <v>0</v>
      </c>
      <c r="G6" s="5" t="s">
        <v>23</v>
      </c>
      <c r="J6" s="7"/>
      <c r="K6" t="s">
        <v>38</v>
      </c>
    </row>
    <row r="7" spans="2:13" ht="18.75" x14ac:dyDescent="0.3">
      <c r="B7" s="2">
        <v>5</v>
      </c>
      <c r="C7" s="3" t="s">
        <v>19</v>
      </c>
      <c r="D7" s="4">
        <v>79349.402988998598</v>
      </c>
      <c r="E7" s="4">
        <v>297727</v>
      </c>
      <c r="F7" s="5">
        <v>3</v>
      </c>
      <c r="G7" s="5" t="s">
        <v>24</v>
      </c>
      <c r="J7" s="10" t="s">
        <v>20</v>
      </c>
      <c r="K7" s="11">
        <f>MAX(E3:E12)</f>
        <v>474815</v>
      </c>
    </row>
    <row r="8" spans="2:13" ht="18.75" x14ac:dyDescent="0.3">
      <c r="B8" s="2">
        <v>6</v>
      </c>
      <c r="C8" s="3" t="s">
        <v>13</v>
      </c>
      <c r="D8" s="4">
        <v>2043.3473441994754</v>
      </c>
      <c r="E8" s="4">
        <v>237985</v>
      </c>
      <c r="F8" s="5">
        <v>1</v>
      </c>
      <c r="G8" s="5" t="s">
        <v>25</v>
      </c>
      <c r="J8" s="10" t="s">
        <v>21</v>
      </c>
      <c r="K8" s="12">
        <f>_xlfn.MAXIFS(E3:E12, G3:G12, "Hr")</f>
        <v>315766</v>
      </c>
    </row>
    <row r="9" spans="2:13" ht="18.75" x14ac:dyDescent="0.3">
      <c r="B9" s="2">
        <v>7</v>
      </c>
      <c r="C9" s="3" t="s">
        <v>14</v>
      </c>
      <c r="D9" s="4">
        <v>87119.019178114904</v>
      </c>
      <c r="E9" s="4">
        <v>474815</v>
      </c>
      <c r="F9" s="5">
        <v>5</v>
      </c>
      <c r="G9" s="5" t="s">
        <v>26</v>
      </c>
      <c r="J9" s="7"/>
      <c r="K9" t="s">
        <v>39</v>
      </c>
    </row>
    <row r="10" spans="2:13" ht="18.75" x14ac:dyDescent="0.3">
      <c r="B10" s="2">
        <v>8</v>
      </c>
      <c r="C10" s="3" t="s">
        <v>15</v>
      </c>
      <c r="D10" s="4">
        <v>11801.005585600511</v>
      </c>
      <c r="E10" s="4">
        <v>160632</v>
      </c>
      <c r="F10" s="5">
        <v>4</v>
      </c>
      <c r="G10" s="5" t="s">
        <v>25</v>
      </c>
      <c r="J10" s="10" t="s">
        <v>33</v>
      </c>
      <c r="K10" s="11">
        <f>COUNT(F3:F12)</f>
        <v>10</v>
      </c>
    </row>
    <row r="11" spans="2:13" ht="18.75" x14ac:dyDescent="0.3">
      <c r="B11" s="2">
        <v>9</v>
      </c>
      <c r="C11" s="3" t="s">
        <v>16</v>
      </c>
      <c r="D11" s="4">
        <v>98464.797331217196</v>
      </c>
      <c r="E11" s="4">
        <v>272298</v>
      </c>
      <c r="F11" s="5">
        <v>0</v>
      </c>
      <c r="G11" s="5" t="s">
        <v>26</v>
      </c>
      <c r="J11" s="10" t="s">
        <v>41</v>
      </c>
      <c r="K11" s="12">
        <f>COUNTIFS(F3:F12,4)</f>
        <v>2</v>
      </c>
    </row>
    <row r="12" spans="2:13" ht="18.75" x14ac:dyDescent="0.3">
      <c r="B12" s="2">
        <v>10</v>
      </c>
      <c r="C12" s="3" t="s">
        <v>17</v>
      </c>
      <c r="D12" s="4">
        <v>10419.377982777856</v>
      </c>
      <c r="E12" s="4">
        <v>137227</v>
      </c>
      <c r="F12" s="5">
        <v>2</v>
      </c>
      <c r="G12" s="5" t="s">
        <v>25</v>
      </c>
      <c r="J12" s="7"/>
      <c r="K12" t="s">
        <v>27</v>
      </c>
    </row>
    <row r="13" spans="2:13" x14ac:dyDescent="0.25">
      <c r="K13" s="9">
        <f>SUMIFS(E3:E12, F3:F12,4)</f>
        <v>476398</v>
      </c>
      <c r="L13" s="9">
        <f>SUM(K13:K14)</f>
        <v>1320437</v>
      </c>
    </row>
    <row r="14" spans="2:13" x14ac:dyDescent="0.25">
      <c r="F14" s="9">
        <f>SUMIFS(E3:E12,F3:F12, 4)  +  SUMIFS(E3:E12,F3:F12,5)</f>
        <v>1320437</v>
      </c>
      <c r="K14">
        <f>SUMIFS(E3:E12, F3:F12, 5)</f>
        <v>844039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8B3F-6860-4D24-8ED8-D03B7066AF63}">
  <dimension ref="C3:H13"/>
  <sheetViews>
    <sheetView workbookViewId="0">
      <selection activeCell="N11" sqref="N11"/>
    </sheetView>
  </sheetViews>
  <sheetFormatPr defaultRowHeight="15" x14ac:dyDescent="0.25"/>
  <sheetData>
    <row r="3" spans="3:8" ht="18.75" x14ac:dyDescent="0.25"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22</v>
      </c>
    </row>
    <row r="4" spans="3:8" ht="18.75" x14ac:dyDescent="0.3">
      <c r="C4" s="2">
        <v>1</v>
      </c>
      <c r="D4" s="3" t="s">
        <v>8</v>
      </c>
      <c r="E4" s="4">
        <v>43239.601386245988</v>
      </c>
      <c r="F4" s="4">
        <v>108470</v>
      </c>
      <c r="G4" s="5">
        <v>5</v>
      </c>
      <c r="H4" s="5" t="s">
        <v>23</v>
      </c>
    </row>
    <row r="5" spans="3:8" ht="18.75" x14ac:dyDescent="0.3">
      <c r="C5" s="2">
        <v>2</v>
      </c>
      <c r="D5" s="3" t="s">
        <v>9</v>
      </c>
      <c r="E5" s="4">
        <v>59565.415598806983</v>
      </c>
      <c r="F5" s="4">
        <v>260754</v>
      </c>
      <c r="G5" s="5">
        <v>5</v>
      </c>
      <c r="H5" s="5" t="s">
        <v>24</v>
      </c>
    </row>
    <row r="6" spans="3:8" ht="18.75" x14ac:dyDescent="0.3">
      <c r="C6" s="2">
        <v>3</v>
      </c>
      <c r="D6" s="3" t="s">
        <v>10</v>
      </c>
      <c r="E6" s="4">
        <v>59888.536791662707</v>
      </c>
      <c r="F6" s="4">
        <v>315766</v>
      </c>
      <c r="G6" s="5">
        <v>4</v>
      </c>
      <c r="H6" s="5" t="s">
        <v>23</v>
      </c>
    </row>
    <row r="7" spans="3:8" ht="18.75" x14ac:dyDescent="0.3">
      <c r="C7" s="2">
        <v>4</v>
      </c>
      <c r="D7" s="3" t="s">
        <v>12</v>
      </c>
      <c r="E7" s="4">
        <v>55988.577219009661</v>
      </c>
      <c r="F7" s="4">
        <v>116896</v>
      </c>
      <c r="G7" s="5">
        <v>0</v>
      </c>
      <c r="H7" s="5" t="s">
        <v>23</v>
      </c>
    </row>
    <row r="8" spans="3:8" ht="18.75" x14ac:dyDescent="0.3">
      <c r="C8" s="2">
        <v>5</v>
      </c>
      <c r="D8" s="3" t="s">
        <v>19</v>
      </c>
      <c r="E8" s="4">
        <v>79349.402988998598</v>
      </c>
      <c r="F8" s="4">
        <v>297727</v>
      </c>
      <c r="G8" s="5">
        <v>3</v>
      </c>
      <c r="H8" s="5" t="s">
        <v>24</v>
      </c>
    </row>
    <row r="9" spans="3:8" ht="18.75" x14ac:dyDescent="0.3">
      <c r="C9" s="2">
        <v>6</v>
      </c>
      <c r="D9" s="3" t="s">
        <v>13</v>
      </c>
      <c r="E9" s="4">
        <v>2043.3473441994754</v>
      </c>
      <c r="F9" s="4">
        <v>237985</v>
      </c>
      <c r="G9" s="5">
        <v>1</v>
      </c>
      <c r="H9" s="5" t="s">
        <v>25</v>
      </c>
    </row>
    <row r="10" spans="3:8" ht="18.75" x14ac:dyDescent="0.3">
      <c r="C10" s="2">
        <v>7</v>
      </c>
      <c r="D10" s="3" t="s">
        <v>14</v>
      </c>
      <c r="E10" s="4">
        <v>87119.019178114904</v>
      </c>
      <c r="F10" s="4">
        <v>474815</v>
      </c>
      <c r="G10" s="5">
        <v>5</v>
      </c>
      <c r="H10" s="5" t="s">
        <v>26</v>
      </c>
    </row>
    <row r="11" spans="3:8" ht="18.75" x14ac:dyDescent="0.3">
      <c r="C11" s="2">
        <v>8</v>
      </c>
      <c r="D11" s="3" t="s">
        <v>15</v>
      </c>
      <c r="E11" s="4">
        <v>11801.005585600511</v>
      </c>
      <c r="F11" s="4">
        <v>160632</v>
      </c>
      <c r="G11" s="5">
        <v>4</v>
      </c>
      <c r="H11" s="5" t="s">
        <v>25</v>
      </c>
    </row>
    <row r="12" spans="3:8" ht="18.75" x14ac:dyDescent="0.3">
      <c r="C12" s="2">
        <v>9</v>
      </c>
      <c r="D12" s="3" t="s">
        <v>16</v>
      </c>
      <c r="E12" s="4">
        <v>98464.797331217196</v>
      </c>
      <c r="F12" s="4">
        <v>272298</v>
      </c>
      <c r="G12" s="5">
        <v>0</v>
      </c>
      <c r="H12" s="5" t="s">
        <v>26</v>
      </c>
    </row>
    <row r="13" spans="3:8" ht="18.75" x14ac:dyDescent="0.3">
      <c r="C13" s="2">
        <v>10</v>
      </c>
      <c r="D13" s="3" t="s">
        <v>17</v>
      </c>
      <c r="E13" s="4">
        <v>10419.377982777856</v>
      </c>
      <c r="F13" s="4">
        <v>137227</v>
      </c>
      <c r="G13" s="5">
        <v>2</v>
      </c>
      <c r="H13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ifs</vt:lpstr>
      <vt:lpstr>big 5</vt:lpstr>
      <vt:lpstr>big 5 + ifs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DELL_4</dc:creator>
  <cp:lastModifiedBy>DELL_4</cp:lastModifiedBy>
  <dcterms:created xsi:type="dcterms:W3CDTF">2026-01-14T02:50:08Z</dcterms:created>
  <dcterms:modified xsi:type="dcterms:W3CDTF">2026-01-14T04:46:30Z</dcterms:modified>
</cp:coreProperties>
</file>