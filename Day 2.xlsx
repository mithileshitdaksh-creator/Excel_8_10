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esktop\Excel 8 to 10\"/>
    </mc:Choice>
  </mc:AlternateContent>
  <xr:revisionPtr revIDLastSave="0" documentId="13_ncr:1_{CE9BCDF7-D55C-48F3-899B-57C568E979AF}" xr6:coauthVersionLast="47" xr6:coauthVersionMax="47" xr10:uidLastSave="{00000000-0000-0000-0000-000000000000}"/>
  <bookViews>
    <workbookView xWindow="-120" yWindow="-120" windowWidth="20730" windowHeight="11160" activeTab="2" xr2:uid="{B5EA7DD0-9EF4-46DD-B119-20628D48F3EF}"/>
  </bookViews>
  <sheets>
    <sheet name="operators" sheetId="1" r:id="rId1"/>
    <sheet name="big 5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G3" i="3"/>
  <c r="I11" i="3"/>
  <c r="I6" i="3"/>
  <c r="I4" i="3"/>
  <c r="I5" i="3"/>
  <c r="I7" i="3"/>
  <c r="I8" i="3"/>
  <c r="I9" i="3"/>
  <c r="I10" i="3"/>
  <c r="I12" i="3"/>
  <c r="H4" i="3"/>
  <c r="H5" i="3"/>
  <c r="H6" i="3"/>
  <c r="H7" i="3"/>
  <c r="H8" i="3"/>
  <c r="H9" i="3"/>
  <c r="H10" i="3"/>
  <c r="H11" i="3"/>
  <c r="H12" i="3"/>
  <c r="H3" i="3"/>
  <c r="G4" i="3"/>
  <c r="G5" i="3"/>
  <c r="G6" i="3"/>
  <c r="G7" i="3"/>
  <c r="G8" i="3"/>
  <c r="G9" i="3"/>
  <c r="G10" i="3"/>
  <c r="G11" i="3"/>
  <c r="G12" i="3"/>
  <c r="H15" i="2"/>
  <c r="I16" i="2"/>
  <c r="I15" i="2"/>
  <c r="J16" i="2"/>
  <c r="J15" i="2"/>
  <c r="I11" i="2"/>
  <c r="J8" i="2"/>
  <c r="I7" i="2"/>
  <c r="K4" i="2"/>
  <c r="J4" i="2"/>
  <c r="I4" i="2"/>
  <c r="J19" i="1"/>
  <c r="J20" i="1"/>
  <c r="J21" i="1"/>
  <c r="J22" i="1"/>
  <c r="J23" i="1"/>
  <c r="J24" i="1"/>
  <c r="J25" i="1"/>
  <c r="J26" i="1"/>
  <c r="J27" i="1"/>
  <c r="J18" i="1"/>
  <c r="I19" i="1"/>
  <c r="I20" i="1"/>
  <c r="I21" i="1"/>
  <c r="I22" i="1"/>
  <c r="I23" i="1"/>
  <c r="I24" i="1"/>
  <c r="I25" i="1"/>
  <c r="I26" i="1"/>
  <c r="I27" i="1"/>
  <c r="I18" i="1"/>
  <c r="H27" i="1"/>
  <c r="H26" i="1"/>
  <c r="H25" i="1"/>
  <c r="H24" i="1"/>
  <c r="H23" i="1"/>
  <c r="H22" i="1"/>
  <c r="H21" i="1"/>
  <c r="H20" i="1"/>
  <c r="H19" i="1"/>
  <c r="H18" i="1"/>
  <c r="H6" i="1"/>
  <c r="H7" i="1"/>
  <c r="H8" i="1"/>
  <c r="H9" i="1"/>
  <c r="H10" i="1"/>
  <c r="H11" i="1"/>
  <c r="H12" i="1"/>
  <c r="H5" i="1"/>
  <c r="H4" i="1"/>
  <c r="H3" i="1"/>
  <c r="M3" i="1"/>
  <c r="L5" i="1"/>
  <c r="L4" i="1"/>
  <c r="L3" i="1"/>
  <c r="M5" i="1"/>
</calcChain>
</file>

<file path=xl/sharedStrings.xml><?xml version="1.0" encoding="utf-8"?>
<sst xmlns="http://schemas.openxmlformats.org/spreadsheetml/2006/main" count="122" uniqueCount="44">
  <si>
    <t>Sr. No.</t>
  </si>
  <si>
    <t>Name</t>
  </si>
  <si>
    <t>Salary</t>
  </si>
  <si>
    <t>Sales</t>
  </si>
  <si>
    <t>Rating</t>
  </si>
  <si>
    <t>Rating 2</t>
  </si>
  <si>
    <t>Kala</t>
  </si>
  <si>
    <t>Mala</t>
  </si>
  <si>
    <t>Bala</t>
  </si>
  <si>
    <t>Lala</t>
  </si>
  <si>
    <t>Raju</t>
  </si>
  <si>
    <t>Bheem</t>
  </si>
  <si>
    <t>Naruto</t>
  </si>
  <si>
    <t>One punch Man</t>
  </si>
  <si>
    <t>Arjun</t>
  </si>
  <si>
    <t>Tom</t>
  </si>
  <si>
    <t>remainder</t>
  </si>
  <si>
    <t>^ power</t>
  </si>
  <si>
    <t>and</t>
  </si>
  <si>
    <t>c1</t>
  </si>
  <si>
    <t>C2</t>
  </si>
  <si>
    <t>T</t>
  </si>
  <si>
    <t>F</t>
  </si>
  <si>
    <t>or</t>
  </si>
  <si>
    <t>c2</t>
  </si>
  <si>
    <t>Not</t>
  </si>
  <si>
    <t>C1</t>
  </si>
  <si>
    <t>And</t>
  </si>
  <si>
    <t>Or</t>
  </si>
  <si>
    <t>Find the total salary given by the company</t>
  </si>
  <si>
    <t>Find the highest sales and lowest sales.</t>
  </si>
  <si>
    <t>Find the average ratings given to the emp.</t>
  </si>
  <si>
    <t>What is the count of emp's base sr. no. col,  name column, ratings</t>
  </si>
  <si>
    <t>Sum</t>
  </si>
  <si>
    <t>Min</t>
  </si>
  <si>
    <t>max</t>
  </si>
  <si>
    <t>Avg</t>
  </si>
  <si>
    <t>Count</t>
  </si>
  <si>
    <t>Counta</t>
  </si>
  <si>
    <t>Countblank</t>
  </si>
  <si>
    <t>500 bonus</t>
  </si>
  <si>
    <t>Bonus</t>
  </si>
  <si>
    <t>if</t>
  </si>
  <si>
    <t>if(if)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</si>
</sst>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E]* #,##0.00_ ;_ [$₹-44E]* \-#,##0.00_ ;_ [$₹-44E]* &quot;-&quot;??_ ;_ @_ 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1CE8-B3C4-428F-BE88-F9E013074568}">
  <dimension ref="B2:S27"/>
  <sheetViews>
    <sheetView topLeftCell="A14" zoomScale="115" zoomScaleNormal="115" workbookViewId="0">
      <selection activeCell="D23" sqref="B17:J27"/>
    </sheetView>
  </sheetViews>
  <sheetFormatPr defaultRowHeight="15" x14ac:dyDescent="0.25"/>
  <cols>
    <col min="2" max="2" width="9.42578125" bestFit="1" customWidth="1"/>
    <col min="4" max="4" width="15.42578125" bestFit="1" customWidth="1"/>
    <col min="5" max="5" width="16.85546875" bestFit="1" customWidth="1"/>
    <col min="6" max="7" width="9.42578125" bestFit="1" customWidth="1"/>
    <col min="8" max="10" width="9.42578125" customWidth="1"/>
  </cols>
  <sheetData>
    <row r="2" spans="2:19" ht="18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7" t="s">
        <v>27</v>
      </c>
      <c r="I2" s="7" t="s">
        <v>28</v>
      </c>
      <c r="J2" s="7" t="s">
        <v>25</v>
      </c>
      <c r="L2" s="6" t="s">
        <v>16</v>
      </c>
      <c r="M2" s="6" t="s">
        <v>17</v>
      </c>
      <c r="P2" t="s">
        <v>19</v>
      </c>
      <c r="Q2" t="s">
        <v>18</v>
      </c>
      <c r="R2" t="s">
        <v>20</v>
      </c>
    </row>
    <row r="3" spans="2:19" ht="18.75" x14ac:dyDescent="0.3">
      <c r="B3" s="2">
        <v>1</v>
      </c>
      <c r="C3" s="3" t="s">
        <v>6</v>
      </c>
      <c r="D3" s="4">
        <v>43239.601386245988</v>
      </c>
      <c r="E3" s="4">
        <v>108470</v>
      </c>
      <c r="F3" s="5">
        <v>4</v>
      </c>
      <c r="G3" s="5">
        <v>3</v>
      </c>
      <c r="H3" s="8" t="b">
        <f>AND(B3&lt;5, F3=2)</f>
        <v>0</v>
      </c>
      <c r="I3" s="8"/>
      <c r="J3" s="8"/>
      <c r="L3">
        <f>MOD(G3, 2)</f>
        <v>1</v>
      </c>
      <c r="M3">
        <f>G3^4</f>
        <v>81</v>
      </c>
      <c r="P3" t="s">
        <v>21</v>
      </c>
      <c r="R3" t="s">
        <v>21</v>
      </c>
      <c r="S3" t="s">
        <v>21</v>
      </c>
    </row>
    <row r="4" spans="2:19" ht="18.75" x14ac:dyDescent="0.3">
      <c r="B4" s="2">
        <v>2</v>
      </c>
      <c r="C4" s="3" t="s">
        <v>7</v>
      </c>
      <c r="D4" s="4">
        <v>59565.415598806983</v>
      </c>
      <c r="E4" s="4">
        <v>260754</v>
      </c>
      <c r="F4" s="5">
        <v>5</v>
      </c>
      <c r="G4" s="5">
        <v>2</v>
      </c>
      <c r="H4" s="8" t="b">
        <f>AND(B4&lt;5, F4=2)</f>
        <v>0</v>
      </c>
      <c r="I4" s="8"/>
      <c r="J4" s="8"/>
      <c r="L4">
        <f>MOD(G4,2)</f>
        <v>0</v>
      </c>
      <c r="P4" t="s">
        <v>21</v>
      </c>
      <c r="R4" t="s">
        <v>22</v>
      </c>
      <c r="S4" t="s">
        <v>22</v>
      </c>
    </row>
    <row r="5" spans="2:19" ht="18.75" x14ac:dyDescent="0.3">
      <c r="B5" s="2">
        <v>3</v>
      </c>
      <c r="C5" s="3" t="s">
        <v>8</v>
      </c>
      <c r="D5" s="4">
        <v>59888.536791662707</v>
      </c>
      <c r="E5" s="4">
        <v>315766</v>
      </c>
      <c r="F5" s="5">
        <v>2</v>
      </c>
      <c r="G5" s="5">
        <v>3</v>
      </c>
      <c r="H5" s="8" t="b">
        <f>AND(B5&lt;5, F5=2)</f>
        <v>1</v>
      </c>
      <c r="I5" s="8"/>
      <c r="J5" s="8"/>
      <c r="L5">
        <f>MOD(G5,3)</f>
        <v>0</v>
      </c>
      <c r="M5">
        <f>3^2</f>
        <v>9</v>
      </c>
      <c r="P5" t="s">
        <v>22</v>
      </c>
      <c r="R5" t="s">
        <v>21</v>
      </c>
      <c r="S5" t="s">
        <v>22</v>
      </c>
    </row>
    <row r="6" spans="2:19" ht="18.75" x14ac:dyDescent="0.3">
      <c r="B6" s="2">
        <v>4</v>
      </c>
      <c r="C6" s="3" t="s">
        <v>9</v>
      </c>
      <c r="D6" s="4">
        <v>55988.577219009661</v>
      </c>
      <c r="E6" s="4">
        <v>116896</v>
      </c>
      <c r="F6" s="5">
        <v>2</v>
      </c>
      <c r="G6" s="5">
        <v>5</v>
      </c>
      <c r="H6" s="8" t="b">
        <f t="shared" ref="H6:H12" si="0">AND(B6&lt;5, F6=2)</f>
        <v>1</v>
      </c>
      <c r="I6" s="8"/>
      <c r="J6" s="8"/>
      <c r="P6" t="s">
        <v>22</v>
      </c>
      <c r="R6" t="s">
        <v>22</v>
      </c>
      <c r="S6" t="s">
        <v>22</v>
      </c>
    </row>
    <row r="7" spans="2:19" ht="18.75" x14ac:dyDescent="0.3">
      <c r="B7" s="2">
        <v>5</v>
      </c>
      <c r="C7" s="3" t="s">
        <v>10</v>
      </c>
      <c r="D7" s="4">
        <v>79349.402988998598</v>
      </c>
      <c r="E7" s="4">
        <v>297727</v>
      </c>
      <c r="F7" s="5">
        <v>3</v>
      </c>
      <c r="G7" s="5">
        <v>3</v>
      </c>
      <c r="H7" s="8" t="b">
        <f t="shared" si="0"/>
        <v>0</v>
      </c>
      <c r="I7" s="8"/>
      <c r="J7" s="8"/>
    </row>
    <row r="8" spans="2:19" ht="18.75" x14ac:dyDescent="0.3">
      <c r="B8" s="2">
        <v>6</v>
      </c>
      <c r="C8" s="3" t="s">
        <v>11</v>
      </c>
      <c r="D8" s="4">
        <v>2043.3473441994754</v>
      </c>
      <c r="E8" s="4">
        <v>237985</v>
      </c>
      <c r="F8" s="5">
        <v>2</v>
      </c>
      <c r="G8" s="5">
        <v>4</v>
      </c>
      <c r="H8" s="8" t="b">
        <f t="shared" si="0"/>
        <v>0</v>
      </c>
      <c r="I8" s="8"/>
      <c r="J8" s="8"/>
    </row>
    <row r="9" spans="2:19" ht="18.75" x14ac:dyDescent="0.3">
      <c r="B9" s="2">
        <v>7</v>
      </c>
      <c r="C9" s="3" t="s">
        <v>12</v>
      </c>
      <c r="D9" s="4">
        <v>87119.019178114904</v>
      </c>
      <c r="E9" s="4">
        <v>474815</v>
      </c>
      <c r="F9" s="5">
        <v>5</v>
      </c>
      <c r="G9" s="5">
        <v>1</v>
      </c>
      <c r="H9" s="8" t="b">
        <f t="shared" si="0"/>
        <v>0</v>
      </c>
      <c r="I9" s="8"/>
      <c r="J9" s="8"/>
      <c r="L9" t="s">
        <v>25</v>
      </c>
      <c r="M9" t="s">
        <v>26</v>
      </c>
      <c r="P9" t="s">
        <v>19</v>
      </c>
      <c r="Q9" t="s">
        <v>23</v>
      </c>
      <c r="R9" t="s">
        <v>24</v>
      </c>
    </row>
    <row r="10" spans="2:19" ht="18.75" x14ac:dyDescent="0.3">
      <c r="B10" s="2">
        <v>8</v>
      </c>
      <c r="C10" s="3" t="s">
        <v>13</v>
      </c>
      <c r="D10" s="4">
        <v>11801.005585600511</v>
      </c>
      <c r="E10" s="4">
        <v>160632</v>
      </c>
      <c r="F10" s="5">
        <v>2</v>
      </c>
      <c r="G10" s="5">
        <v>1</v>
      </c>
      <c r="H10" s="8" t="b">
        <f t="shared" si="0"/>
        <v>0</v>
      </c>
      <c r="I10" s="8"/>
      <c r="J10" s="8"/>
      <c r="M10" t="s">
        <v>21</v>
      </c>
      <c r="N10" t="s">
        <v>22</v>
      </c>
      <c r="P10" t="s">
        <v>21</v>
      </c>
      <c r="R10" t="s">
        <v>21</v>
      </c>
      <c r="S10" t="s">
        <v>21</v>
      </c>
    </row>
    <row r="11" spans="2:19" ht="18.75" x14ac:dyDescent="0.3">
      <c r="B11" s="2">
        <v>9</v>
      </c>
      <c r="C11" s="3" t="s">
        <v>14</v>
      </c>
      <c r="D11" s="4">
        <v>98464.797331217196</v>
      </c>
      <c r="E11" s="4">
        <v>272298</v>
      </c>
      <c r="F11" s="5">
        <v>3</v>
      </c>
      <c r="G11" s="5">
        <v>2</v>
      </c>
      <c r="H11" s="8" t="b">
        <f t="shared" si="0"/>
        <v>0</v>
      </c>
      <c r="I11" s="8"/>
      <c r="J11" s="8"/>
      <c r="M11" t="s">
        <v>22</v>
      </c>
      <c r="N11" t="s">
        <v>21</v>
      </c>
      <c r="P11" t="s">
        <v>21</v>
      </c>
      <c r="R11" t="s">
        <v>22</v>
      </c>
      <c r="S11" t="s">
        <v>21</v>
      </c>
    </row>
    <row r="12" spans="2:19" ht="18.75" x14ac:dyDescent="0.3">
      <c r="B12" s="2">
        <v>10</v>
      </c>
      <c r="C12" s="3" t="s">
        <v>15</v>
      </c>
      <c r="D12" s="4">
        <v>10419.377982777856</v>
      </c>
      <c r="E12" s="4">
        <v>137227</v>
      </c>
      <c r="F12" s="5">
        <v>2</v>
      </c>
      <c r="G12" s="5">
        <v>5</v>
      </c>
      <c r="H12" s="8" t="b">
        <f t="shared" si="0"/>
        <v>0</v>
      </c>
      <c r="I12" s="8"/>
      <c r="J12" s="8"/>
      <c r="P12" t="s">
        <v>22</v>
      </c>
      <c r="R12" t="s">
        <v>21</v>
      </c>
      <c r="S12" t="s">
        <v>21</v>
      </c>
    </row>
    <row r="13" spans="2:19" x14ac:dyDescent="0.25">
      <c r="P13" t="s">
        <v>22</v>
      </c>
      <c r="R13" t="s">
        <v>22</v>
      </c>
      <c r="S13" t="s">
        <v>22</v>
      </c>
    </row>
    <row r="17" spans="2:10" ht="18.75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7" t="s">
        <v>27</v>
      </c>
      <c r="I17" s="7" t="s">
        <v>28</v>
      </c>
      <c r="J17" s="7" t="s">
        <v>25</v>
      </c>
    </row>
    <row r="18" spans="2:10" ht="18.75" x14ac:dyDescent="0.3">
      <c r="B18" s="2">
        <v>1</v>
      </c>
      <c r="C18" s="3" t="s">
        <v>6</v>
      </c>
      <c r="D18" s="4">
        <v>43239.601386245988</v>
      </c>
      <c r="E18" s="4">
        <v>108470</v>
      </c>
      <c r="F18" s="5">
        <v>4</v>
      </c>
      <c r="G18" s="5">
        <v>3</v>
      </c>
      <c r="H18" s="8" t="b">
        <f>AND(B18&lt;5, F18=2)</f>
        <v>0</v>
      </c>
      <c r="I18" s="8" t="b">
        <f>OR(B18&lt;5, F18=2)</f>
        <v>1</v>
      </c>
      <c r="J18" s="8" t="b">
        <f>NOT(F18=2)</f>
        <v>1</v>
      </c>
    </row>
    <row r="19" spans="2:10" ht="18.75" x14ac:dyDescent="0.3">
      <c r="B19" s="2">
        <v>2</v>
      </c>
      <c r="C19" s="3" t="s">
        <v>7</v>
      </c>
      <c r="D19" s="4">
        <v>59565.415598806983</v>
      </c>
      <c r="E19" s="4">
        <v>260754</v>
      </c>
      <c r="F19" s="5">
        <v>5</v>
      </c>
      <c r="G19" s="5">
        <v>2</v>
      </c>
      <c r="H19" s="8" t="b">
        <f>AND(B19&lt;5, F19=2)</f>
        <v>0</v>
      </c>
      <c r="I19" s="8" t="b">
        <f t="shared" ref="I19:I27" si="1">OR(B19&lt;5, F19=2)</f>
        <v>1</v>
      </c>
      <c r="J19" s="8" t="b">
        <f t="shared" ref="J19:J27" si="2">NOT(F19=2)</f>
        <v>1</v>
      </c>
    </row>
    <row r="20" spans="2:10" ht="18.75" x14ac:dyDescent="0.3">
      <c r="B20" s="2">
        <v>3</v>
      </c>
      <c r="C20" s="3" t="s">
        <v>8</v>
      </c>
      <c r="D20" s="4">
        <v>59888.536791662707</v>
      </c>
      <c r="E20" s="4">
        <v>315766</v>
      </c>
      <c r="F20" s="5">
        <v>2</v>
      </c>
      <c r="G20" s="5">
        <v>3</v>
      </c>
      <c r="H20" s="8" t="b">
        <f>AND(B20&lt;5, F20=2)</f>
        <v>1</v>
      </c>
      <c r="I20" s="8" t="b">
        <f t="shared" si="1"/>
        <v>1</v>
      </c>
      <c r="J20" s="8" t="b">
        <f t="shared" si="2"/>
        <v>0</v>
      </c>
    </row>
    <row r="21" spans="2:10" ht="18.75" x14ac:dyDescent="0.3">
      <c r="B21" s="2">
        <v>4</v>
      </c>
      <c r="C21" s="3" t="s">
        <v>9</v>
      </c>
      <c r="D21" s="4">
        <v>55988.577219009661</v>
      </c>
      <c r="E21" s="4">
        <v>116896</v>
      </c>
      <c r="F21" s="5">
        <v>2</v>
      </c>
      <c r="G21" s="5">
        <v>5</v>
      </c>
      <c r="H21" s="8" t="b">
        <f t="shared" ref="H21:H27" si="3">AND(B21&lt;5, F21=2)</f>
        <v>1</v>
      </c>
      <c r="I21" s="8" t="b">
        <f t="shared" si="1"/>
        <v>1</v>
      </c>
      <c r="J21" s="8" t="b">
        <f t="shared" si="2"/>
        <v>0</v>
      </c>
    </row>
    <row r="22" spans="2:10" ht="18.75" x14ac:dyDescent="0.3">
      <c r="B22" s="2">
        <v>5</v>
      </c>
      <c r="C22" s="3" t="s">
        <v>10</v>
      </c>
      <c r="D22" s="4">
        <v>79349.402988998598</v>
      </c>
      <c r="E22" s="4">
        <v>297727</v>
      </c>
      <c r="F22" s="5">
        <v>3</v>
      </c>
      <c r="G22" s="5">
        <v>3</v>
      </c>
      <c r="H22" s="8" t="b">
        <f t="shared" si="3"/>
        <v>0</v>
      </c>
      <c r="I22" s="8" t="b">
        <f t="shared" si="1"/>
        <v>0</v>
      </c>
      <c r="J22" s="8" t="b">
        <f t="shared" si="2"/>
        <v>1</v>
      </c>
    </row>
    <row r="23" spans="2:10" ht="18.75" x14ac:dyDescent="0.3">
      <c r="B23" s="2">
        <v>6</v>
      </c>
      <c r="C23" s="3" t="s">
        <v>11</v>
      </c>
      <c r="D23" s="4">
        <v>2043.3473441994754</v>
      </c>
      <c r="E23" s="4">
        <v>237985</v>
      </c>
      <c r="F23" s="5">
        <v>2</v>
      </c>
      <c r="G23" s="5">
        <v>4</v>
      </c>
      <c r="H23" s="8" t="b">
        <f t="shared" si="3"/>
        <v>0</v>
      </c>
      <c r="I23" s="8" t="b">
        <f t="shared" si="1"/>
        <v>1</v>
      </c>
      <c r="J23" s="8" t="b">
        <f t="shared" si="2"/>
        <v>0</v>
      </c>
    </row>
    <row r="24" spans="2:10" ht="18.75" x14ac:dyDescent="0.3">
      <c r="B24" s="2">
        <v>7</v>
      </c>
      <c r="C24" s="3" t="s">
        <v>12</v>
      </c>
      <c r="D24" s="4">
        <v>87119.019178114904</v>
      </c>
      <c r="E24" s="4">
        <v>474815</v>
      </c>
      <c r="F24" s="5">
        <v>5</v>
      </c>
      <c r="G24" s="5">
        <v>1</v>
      </c>
      <c r="H24" s="8" t="b">
        <f t="shared" si="3"/>
        <v>0</v>
      </c>
      <c r="I24" s="8" t="b">
        <f t="shared" si="1"/>
        <v>0</v>
      </c>
      <c r="J24" s="8" t="b">
        <f t="shared" si="2"/>
        <v>1</v>
      </c>
    </row>
    <row r="25" spans="2:10" ht="18.75" x14ac:dyDescent="0.3">
      <c r="B25" s="2">
        <v>8</v>
      </c>
      <c r="C25" s="3" t="s">
        <v>13</v>
      </c>
      <c r="D25" s="4">
        <v>11801.005585600511</v>
      </c>
      <c r="E25" s="4">
        <v>160632</v>
      </c>
      <c r="F25" s="5">
        <v>2</v>
      </c>
      <c r="G25" s="5">
        <v>1</v>
      </c>
      <c r="H25" s="8" t="b">
        <f t="shared" si="3"/>
        <v>0</v>
      </c>
      <c r="I25" s="8" t="b">
        <f t="shared" si="1"/>
        <v>1</v>
      </c>
      <c r="J25" s="8" t="b">
        <f t="shared" si="2"/>
        <v>0</v>
      </c>
    </row>
    <row r="26" spans="2:10" ht="18.75" x14ac:dyDescent="0.3">
      <c r="B26" s="2">
        <v>9</v>
      </c>
      <c r="C26" s="3" t="s">
        <v>14</v>
      </c>
      <c r="D26" s="4">
        <v>98464.797331217196</v>
      </c>
      <c r="E26" s="4">
        <v>272298</v>
      </c>
      <c r="F26" s="5">
        <v>3</v>
      </c>
      <c r="G26" s="5">
        <v>2</v>
      </c>
      <c r="H26" s="8" t="b">
        <f t="shared" si="3"/>
        <v>0</v>
      </c>
      <c r="I26" s="8" t="b">
        <f t="shared" si="1"/>
        <v>0</v>
      </c>
      <c r="J26" s="8" t="b">
        <f t="shared" si="2"/>
        <v>1</v>
      </c>
    </row>
    <row r="27" spans="2:10" ht="18.75" x14ac:dyDescent="0.3">
      <c r="B27" s="2">
        <v>10</v>
      </c>
      <c r="C27" s="3" t="s">
        <v>15</v>
      </c>
      <c r="D27" s="4">
        <v>10419.377982777856</v>
      </c>
      <c r="E27" s="4">
        <v>137227</v>
      </c>
      <c r="F27" s="5">
        <v>2</v>
      </c>
      <c r="G27" s="5">
        <v>5</v>
      </c>
      <c r="H27" s="8" t="b">
        <f t="shared" si="3"/>
        <v>0</v>
      </c>
      <c r="I27" s="8" t="b">
        <f t="shared" si="1"/>
        <v>1</v>
      </c>
      <c r="J27" s="8" t="b">
        <f t="shared" si="2"/>
        <v>0</v>
      </c>
    </row>
  </sheetData>
  <conditionalFormatting sqref="B3:J12">
    <cfRule type="expression" dxfId="2" priority="4">
      <formula>$D3=$M$5</formula>
    </cfRule>
  </conditionalFormatting>
  <conditionalFormatting sqref="B3:H12">
    <cfRule type="expression" dxfId="1" priority="3">
      <formula>$H3=TRUE</formula>
    </cfRule>
  </conditionalFormatting>
  <conditionalFormatting sqref="I18:J27">
    <cfRule type="expression" dxfId="0" priority="2">
      <formula>$D18=$M$5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0E6B-FFA8-419B-A151-975594AF6584}">
  <dimension ref="B2:M16"/>
  <sheetViews>
    <sheetView zoomScale="115" zoomScaleNormal="115" workbookViewId="0">
      <selection activeCell="B3" sqref="B3:F13"/>
    </sheetView>
  </sheetViews>
  <sheetFormatPr defaultRowHeight="15" x14ac:dyDescent="0.25"/>
  <cols>
    <col min="4" max="5" width="20.28515625" customWidth="1"/>
    <col min="8" max="8" width="14.42578125" bestFit="1" customWidth="1"/>
    <col min="9" max="12" width="16.85546875" bestFit="1" customWidth="1"/>
  </cols>
  <sheetData>
    <row r="2" spans="2:13" ht="18.75" x14ac:dyDescent="0.3">
      <c r="J2" s="9"/>
      <c r="K2" s="9"/>
      <c r="L2" s="9"/>
    </row>
    <row r="3" spans="2:13" ht="18.7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1" t="s">
        <v>33</v>
      </c>
      <c r="J3" s="1" t="s">
        <v>33</v>
      </c>
      <c r="K3" s="1" t="s">
        <v>33</v>
      </c>
      <c r="L3" s="9" t="s">
        <v>29</v>
      </c>
      <c r="M3" s="9"/>
    </row>
    <row r="4" spans="2:13" ht="18.75" x14ac:dyDescent="0.3">
      <c r="B4" s="2">
        <v>1</v>
      </c>
      <c r="C4" s="3" t="s">
        <v>6</v>
      </c>
      <c r="D4" s="4">
        <v>43239.601386245988</v>
      </c>
      <c r="E4" s="4">
        <v>108470</v>
      </c>
      <c r="F4" s="5">
        <v>4</v>
      </c>
      <c r="G4" s="8"/>
      <c r="H4" s="8"/>
      <c r="I4" s="4">
        <f>SUM(D4,D5,D6,D7,D8,D9,D10,D11,D12,D13)</f>
        <v>507879.08140663389</v>
      </c>
      <c r="J4" s="4">
        <f>SUM(D4:D13)</f>
        <v>507879.08140663389</v>
      </c>
      <c r="K4" s="4">
        <f>SUM(D4:D13)</f>
        <v>507879.08140663389</v>
      </c>
      <c r="L4" s="9"/>
      <c r="M4" s="9"/>
    </row>
    <row r="5" spans="2:13" ht="18.75" x14ac:dyDescent="0.3">
      <c r="B5" s="2">
        <v>2</v>
      </c>
      <c r="C5" s="3" t="s">
        <v>7</v>
      </c>
      <c r="D5" s="4">
        <v>59565.415598806983</v>
      </c>
      <c r="E5" s="4">
        <v>260754</v>
      </c>
      <c r="F5" s="5">
        <v>5</v>
      </c>
      <c r="G5" s="8"/>
      <c r="H5" s="8"/>
      <c r="K5" s="9"/>
      <c r="L5" s="9"/>
      <c r="M5" s="9"/>
    </row>
    <row r="6" spans="2:13" ht="18.75" x14ac:dyDescent="0.3">
      <c r="B6" s="2">
        <v>3</v>
      </c>
      <c r="C6" s="3" t="s">
        <v>8</v>
      </c>
      <c r="D6" s="4">
        <v>59888.536791662707</v>
      </c>
      <c r="E6" s="4">
        <v>315766</v>
      </c>
      <c r="F6" s="5"/>
      <c r="G6" s="8"/>
      <c r="H6" s="8"/>
      <c r="I6" s="1" t="s">
        <v>34</v>
      </c>
      <c r="J6" s="9" t="s">
        <v>30</v>
      </c>
      <c r="K6" s="9"/>
    </row>
    <row r="7" spans="2:13" ht="18.75" x14ac:dyDescent="0.3">
      <c r="B7" s="2">
        <v>4</v>
      </c>
      <c r="C7" s="3" t="s">
        <v>9</v>
      </c>
      <c r="D7" s="4">
        <v>55988.577219009661</v>
      </c>
      <c r="E7" s="4">
        <v>116896</v>
      </c>
      <c r="F7" s="5">
        <v>2</v>
      </c>
      <c r="G7" s="8"/>
      <c r="H7" s="8"/>
      <c r="I7" s="4">
        <f>MIN(E4:E13)</f>
        <v>108470</v>
      </c>
      <c r="J7" s="1" t="s">
        <v>35</v>
      </c>
      <c r="K7" s="9"/>
    </row>
    <row r="8" spans="2:13" ht="18.75" x14ac:dyDescent="0.3">
      <c r="B8" s="2">
        <v>5</v>
      </c>
      <c r="C8" s="3"/>
      <c r="D8" s="4">
        <v>79349.402988998598</v>
      </c>
      <c r="E8" s="4">
        <v>297727</v>
      </c>
      <c r="F8" s="5">
        <v>3</v>
      </c>
      <c r="G8" s="8"/>
      <c r="H8" s="8"/>
      <c r="I8" s="9"/>
      <c r="J8" s="4">
        <f>MAX(E4:E13)</f>
        <v>474815</v>
      </c>
      <c r="K8" s="9"/>
    </row>
    <row r="9" spans="2:13" ht="18.75" x14ac:dyDescent="0.3">
      <c r="B9" s="2">
        <v>6</v>
      </c>
      <c r="C9" s="3" t="s">
        <v>11</v>
      </c>
      <c r="D9" s="4">
        <v>2043.3473441994754</v>
      </c>
      <c r="E9" s="4">
        <v>237985</v>
      </c>
      <c r="F9" s="5"/>
      <c r="G9" s="8"/>
      <c r="H9" s="8"/>
      <c r="I9" s="9"/>
      <c r="J9" s="9"/>
      <c r="K9" s="9"/>
    </row>
    <row r="10" spans="2:13" ht="18.75" x14ac:dyDescent="0.3">
      <c r="B10" s="2">
        <v>7</v>
      </c>
      <c r="C10" s="3" t="s">
        <v>12</v>
      </c>
      <c r="D10" s="4">
        <v>87119.019178114904</v>
      </c>
      <c r="E10" s="4">
        <v>474815</v>
      </c>
      <c r="F10" s="5">
        <v>5</v>
      </c>
      <c r="G10" s="8"/>
      <c r="H10" s="8"/>
      <c r="I10" s="1" t="s">
        <v>36</v>
      </c>
      <c r="J10" s="9" t="s">
        <v>31</v>
      </c>
      <c r="K10" s="9"/>
    </row>
    <row r="11" spans="2:13" ht="18.75" x14ac:dyDescent="0.3">
      <c r="B11" s="2">
        <v>8</v>
      </c>
      <c r="C11" s="3" t="s">
        <v>13</v>
      </c>
      <c r="D11" s="4">
        <v>11801.005585600511</v>
      </c>
      <c r="E11" s="4">
        <v>160632</v>
      </c>
      <c r="F11" s="5">
        <v>2</v>
      </c>
      <c r="G11" s="8"/>
      <c r="H11" s="8"/>
      <c r="I11" s="5">
        <f>AVERAGE(F4:F13)</f>
        <v>3.25</v>
      </c>
      <c r="J11" s="9"/>
      <c r="K11" s="9"/>
    </row>
    <row r="12" spans="2:13" ht="18.75" x14ac:dyDescent="0.3">
      <c r="B12" s="2">
        <v>9</v>
      </c>
      <c r="C12" s="3" t="s">
        <v>14</v>
      </c>
      <c r="D12" s="4">
        <v>98464.797331217196</v>
      </c>
      <c r="E12" s="4">
        <v>272298</v>
      </c>
      <c r="F12" s="5">
        <v>3</v>
      </c>
      <c r="G12" s="8"/>
      <c r="H12" s="8"/>
      <c r="I12" s="9"/>
      <c r="J12" s="9"/>
      <c r="K12" s="9"/>
    </row>
    <row r="13" spans="2:13" ht="18.75" x14ac:dyDescent="0.3">
      <c r="B13" s="2">
        <v>10</v>
      </c>
      <c r="C13" s="3" t="s">
        <v>15</v>
      </c>
      <c r="D13" s="4">
        <v>10419.377982777856</v>
      </c>
      <c r="E13" s="4">
        <v>137227</v>
      </c>
      <c r="F13" s="5">
        <v>2</v>
      </c>
      <c r="G13" s="8"/>
      <c r="H13" s="8"/>
      <c r="K13" s="9"/>
      <c r="L13" s="9"/>
      <c r="M13" s="9"/>
    </row>
    <row r="14" spans="2:13" ht="18.75" x14ac:dyDescent="0.3">
      <c r="H14" s="1" t="s">
        <v>39</v>
      </c>
      <c r="I14" s="1" t="s">
        <v>38</v>
      </c>
      <c r="J14" s="1" t="s">
        <v>37</v>
      </c>
      <c r="K14" s="9" t="s">
        <v>32</v>
      </c>
      <c r="L14" s="9"/>
    </row>
    <row r="15" spans="2:13" ht="18.75" x14ac:dyDescent="0.3">
      <c r="H15" s="5">
        <f>COUNTBLANK(C4:C13)</f>
        <v>1</v>
      </c>
      <c r="I15" s="5">
        <f>COUNTA(B4:B13)</f>
        <v>10</v>
      </c>
      <c r="J15" s="5">
        <f>COUNT(B4:B13)</f>
        <v>10</v>
      </c>
      <c r="L15" s="9"/>
      <c r="M15" s="9"/>
    </row>
    <row r="16" spans="2:13" ht="18.75" x14ac:dyDescent="0.3">
      <c r="I16">
        <f>COUNTA(C4:C13)</f>
        <v>9</v>
      </c>
      <c r="J16" s="9">
        <f>COUNT(C4:C13)</f>
        <v>0</v>
      </c>
      <c r="L16" s="9"/>
      <c r="M1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A2F8-D3C8-4A3B-A87C-A9EA46BBABC4}">
  <dimension ref="B1:K12"/>
  <sheetViews>
    <sheetView tabSelected="1" zoomScale="115" zoomScaleNormal="115" workbookViewId="0">
      <selection activeCell="M3" sqref="M3"/>
    </sheetView>
  </sheetViews>
  <sheetFormatPr defaultRowHeight="15" x14ac:dyDescent="0.25"/>
  <cols>
    <col min="3" max="3" width="19" bestFit="1" customWidth="1"/>
    <col min="4" max="4" width="15.42578125" bestFit="1" customWidth="1"/>
    <col min="5" max="5" width="16.85546875" bestFit="1" customWidth="1"/>
    <col min="7" max="7" width="13" bestFit="1" customWidth="1"/>
  </cols>
  <sheetData>
    <row r="1" spans="2:11" x14ac:dyDescent="0.25">
      <c r="G1" t="s">
        <v>42</v>
      </c>
      <c r="H1" t="s">
        <v>43</v>
      </c>
    </row>
    <row r="2" spans="2:11" ht="18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40</v>
      </c>
      <c r="H2" s="1"/>
    </row>
    <row r="3" spans="2:11" ht="18.75" x14ac:dyDescent="0.3">
      <c r="B3" s="2">
        <v>1</v>
      </c>
      <c r="C3" s="3" t="s">
        <v>6</v>
      </c>
      <c r="D3" s="4">
        <v>43239.601386245988</v>
      </c>
      <c r="E3" s="4">
        <v>108470</v>
      </c>
      <c r="F3" s="5">
        <v>4</v>
      </c>
      <c r="G3" s="5" t="str">
        <f>IF(F3=5, 500, "no")</f>
        <v>no</v>
      </c>
      <c r="H3" s="5">
        <f>IF(F3=5, 500, IF(F3=4, 400, IF(F3=3, 300, IF(F3=2, 200, 100))))</f>
        <v>400</v>
      </c>
      <c r="I3">
        <f>IF(F3=$J$6,$K$6,     IF(F3=$J$7, $K$7,    IF(F3=$J$8,   $K$8,   IF(F3=$J$9, $K$9, $K$10))))</f>
        <v>400</v>
      </c>
    </row>
    <row r="4" spans="2:11" ht="18.75" x14ac:dyDescent="0.3">
      <c r="B4" s="2">
        <v>2</v>
      </c>
      <c r="C4" s="3" t="s">
        <v>7</v>
      </c>
      <c r="D4" s="4">
        <v>59565.415598806983</v>
      </c>
      <c r="E4" s="4">
        <v>260754</v>
      </c>
      <c r="F4" s="5">
        <v>5</v>
      </c>
      <c r="G4" s="5">
        <f t="shared" ref="G4:G12" si="0">IF(F4=5, 500, "no")</f>
        <v>500</v>
      </c>
      <c r="H4" s="5">
        <f>IF(F4=5, 500, IF(F4=4, 400, IF(F4=3, 300, IF(F4=2, 200, 100))))</f>
        <v>500</v>
      </c>
      <c r="I4">
        <f t="shared" ref="I4:I12" si="1">IF(F4=$J$6,$K$6,     IF(F4=$J$7, $K$7,    IF(F4=$J$8,   $K$8,   IF(F4=$J$9, $K$9, $K$10))))</f>
        <v>500</v>
      </c>
    </row>
    <row r="5" spans="2:11" ht="18.75" x14ac:dyDescent="0.3">
      <c r="B5" s="2">
        <v>3</v>
      </c>
      <c r="C5" s="3" t="s">
        <v>8</v>
      </c>
      <c r="D5" s="4">
        <v>59888.536791662707</v>
      </c>
      <c r="E5" s="4">
        <v>315766</v>
      </c>
      <c r="F5" s="5">
        <v>4</v>
      </c>
      <c r="G5" s="5" t="str">
        <f t="shared" si="0"/>
        <v>no</v>
      </c>
      <c r="H5" s="5">
        <f t="shared" ref="H4:H12" si="2">IF(F5=5, 500, IF(F5=4, 400, IF(F5=3, 300, IF(F5=2, 200, 100))))</f>
        <v>400</v>
      </c>
      <c r="I5">
        <f t="shared" si="1"/>
        <v>400</v>
      </c>
      <c r="J5" s="1" t="s">
        <v>4</v>
      </c>
      <c r="K5" s="1" t="s">
        <v>41</v>
      </c>
    </row>
    <row r="6" spans="2:11" ht="18.75" x14ac:dyDescent="0.3">
      <c r="B6" s="2">
        <v>4</v>
      </c>
      <c r="C6" s="3" t="s">
        <v>9</v>
      </c>
      <c r="D6" s="4">
        <v>55988.577219009661</v>
      </c>
      <c r="E6" s="4">
        <v>116896</v>
      </c>
      <c r="F6" s="5">
        <v>2</v>
      </c>
      <c r="G6" s="5" t="str">
        <f t="shared" si="0"/>
        <v>no</v>
      </c>
      <c r="H6" s="5">
        <f t="shared" si="2"/>
        <v>200</v>
      </c>
      <c r="I6">
        <f>IF(F6=$J$6,$K$6,     IF(F6=$J$7, $K$7,    IF(F6=$J$8,   $K$8,   IF(F6=$J$9, $K$9, $K$10))))</f>
        <v>200</v>
      </c>
      <c r="J6" s="10">
        <v>5</v>
      </c>
      <c r="K6" s="10">
        <v>500</v>
      </c>
    </row>
    <row r="7" spans="2:11" ht="18.75" x14ac:dyDescent="0.3">
      <c r="B7" s="2">
        <v>5</v>
      </c>
      <c r="C7" s="3"/>
      <c r="D7" s="4">
        <v>79349.402988998598</v>
      </c>
      <c r="E7" s="4">
        <v>297727</v>
      </c>
      <c r="F7" s="5">
        <v>3</v>
      </c>
      <c r="G7" s="5" t="str">
        <f t="shared" si="0"/>
        <v>no</v>
      </c>
      <c r="H7" s="5">
        <f t="shared" si="2"/>
        <v>300</v>
      </c>
      <c r="I7">
        <f t="shared" si="1"/>
        <v>300</v>
      </c>
      <c r="J7" s="10">
        <v>4</v>
      </c>
      <c r="K7" s="10">
        <v>400</v>
      </c>
    </row>
    <row r="8" spans="2:11" ht="18.75" x14ac:dyDescent="0.3">
      <c r="B8" s="2">
        <v>6</v>
      </c>
      <c r="C8" s="3" t="s">
        <v>11</v>
      </c>
      <c r="D8" s="4">
        <v>2043.3473441994754</v>
      </c>
      <c r="E8" s="4">
        <v>237985</v>
      </c>
      <c r="F8" s="5">
        <v>1</v>
      </c>
      <c r="G8" s="5" t="str">
        <f t="shared" si="0"/>
        <v>no</v>
      </c>
      <c r="H8" s="5">
        <f t="shared" si="2"/>
        <v>100</v>
      </c>
      <c r="I8">
        <f t="shared" si="1"/>
        <v>100</v>
      </c>
      <c r="J8" s="10">
        <v>3</v>
      </c>
      <c r="K8" s="10">
        <v>300</v>
      </c>
    </row>
    <row r="9" spans="2:11" ht="18.75" x14ac:dyDescent="0.3">
      <c r="B9" s="2">
        <v>7</v>
      </c>
      <c r="C9" s="3" t="s">
        <v>12</v>
      </c>
      <c r="D9" s="4">
        <v>87119.019178114904</v>
      </c>
      <c r="E9" s="4">
        <v>474815</v>
      </c>
      <c r="F9" s="5">
        <v>5</v>
      </c>
      <c r="G9" s="5">
        <f t="shared" si="0"/>
        <v>500</v>
      </c>
      <c r="H9" s="5">
        <f t="shared" si="2"/>
        <v>500</v>
      </c>
      <c r="I9">
        <f t="shared" si="1"/>
        <v>500</v>
      </c>
      <c r="J9" s="10">
        <v>2</v>
      </c>
      <c r="K9" s="10">
        <v>200</v>
      </c>
    </row>
    <row r="10" spans="2:11" ht="18.75" x14ac:dyDescent="0.3">
      <c r="B10" s="2">
        <v>8</v>
      </c>
      <c r="C10" s="3" t="s">
        <v>13</v>
      </c>
      <c r="D10" s="4">
        <v>11801.005585600511</v>
      </c>
      <c r="E10" s="4">
        <v>160632</v>
      </c>
      <c r="F10" s="5">
        <v>2</v>
      </c>
      <c r="G10" s="5" t="str">
        <f t="shared" si="0"/>
        <v>no</v>
      </c>
      <c r="H10" s="5">
        <f t="shared" si="2"/>
        <v>200</v>
      </c>
      <c r="I10">
        <f t="shared" si="1"/>
        <v>200</v>
      </c>
      <c r="J10" s="10">
        <v>1</v>
      </c>
      <c r="K10" s="10">
        <v>100</v>
      </c>
    </row>
    <row r="11" spans="2:11" ht="18.75" x14ac:dyDescent="0.3">
      <c r="B11" s="2">
        <v>9</v>
      </c>
      <c r="C11" s="3" t="s">
        <v>14</v>
      </c>
      <c r="D11" s="4">
        <v>98464.797331217196</v>
      </c>
      <c r="E11" s="4">
        <v>272298</v>
      </c>
      <c r="F11" s="5">
        <v>3</v>
      </c>
      <c r="G11" s="5" t="str">
        <f t="shared" si="0"/>
        <v>no</v>
      </c>
      <c r="H11" s="5">
        <f t="shared" si="2"/>
        <v>300</v>
      </c>
      <c r="I11">
        <f>IF(F11=$J$6,$K$6,     IF(F11=$J$7, $K$7,    IF(F11=$J$8,   $K$8,   IF(F11=$J$9, $K$9, $K$10))))</f>
        <v>300</v>
      </c>
    </row>
    <row r="12" spans="2:11" ht="18.75" x14ac:dyDescent="0.3">
      <c r="B12" s="2">
        <v>10</v>
      </c>
      <c r="C12" s="3" t="s">
        <v>15</v>
      </c>
      <c r="D12" s="4">
        <v>10419.377982777856</v>
      </c>
      <c r="E12" s="4">
        <v>137227</v>
      </c>
      <c r="F12" s="5">
        <v>2</v>
      </c>
      <c r="G12" s="5" t="str">
        <f t="shared" si="0"/>
        <v>no</v>
      </c>
      <c r="H12" s="5">
        <f t="shared" si="2"/>
        <v>200</v>
      </c>
      <c r="I12">
        <f t="shared" si="1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operators</vt:lpstr>
      <vt:lpstr>big 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2026-01-13T02:54:03Z</dcterms:created>
  <dcterms:modified xsi:type="dcterms:W3CDTF">2026-01-13T04:42:52Z</dcterms:modified>
</cp:coreProperties>
</file>