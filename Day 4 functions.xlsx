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esktop\Excel 8 to 10\"/>
    </mc:Choice>
  </mc:AlternateContent>
  <xr:revisionPtr revIDLastSave="0" documentId="13_ncr:1_{55F50AEC-9CE3-4400-82D0-9DED130C9A2A}" xr6:coauthVersionLast="47" xr6:coauthVersionMax="47" xr10:uidLastSave="{00000000-0000-0000-0000-000000000000}"/>
  <bookViews>
    <workbookView xWindow="-120" yWindow="-120" windowWidth="20730" windowHeight="11160" activeTab="1" xr2:uid="{C8A77DE6-9EA5-4AE6-BB54-8DE8BCD792C4}"/>
  </bookViews>
  <sheets>
    <sheet name="Sheet1" sheetId="1" r:id="rId1"/>
    <sheet name="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2" l="1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76" i="2"/>
  <c r="J76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58" i="2"/>
  <c r="E59" i="2"/>
  <c r="E60" i="2"/>
  <c r="E61" i="2"/>
  <c r="E62" i="2"/>
  <c r="E63" i="2"/>
  <c r="E64" i="2"/>
  <c r="E65" i="2"/>
  <c r="E66" i="2"/>
  <c r="E58" i="2"/>
  <c r="F58" i="2"/>
  <c r="E67" i="2"/>
  <c r="E68" i="2"/>
  <c r="E69" i="2"/>
  <c r="E70" i="2"/>
  <c r="E71" i="2"/>
  <c r="F68" i="2"/>
  <c r="F59" i="2"/>
  <c r="F60" i="2"/>
  <c r="F61" i="2"/>
  <c r="F62" i="2"/>
  <c r="F63" i="2"/>
  <c r="F64" i="2"/>
  <c r="F65" i="2"/>
  <c r="F66" i="2"/>
  <c r="F67" i="2"/>
  <c r="F69" i="2"/>
  <c r="F70" i="2"/>
  <c r="F71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40" i="2"/>
  <c r="H44" i="2"/>
  <c r="H45" i="2"/>
  <c r="H46" i="2"/>
  <c r="H47" i="2"/>
  <c r="H48" i="2"/>
  <c r="H49" i="2"/>
  <c r="H50" i="2"/>
  <c r="H51" i="2"/>
  <c r="H52" i="2"/>
  <c r="H53" i="2"/>
  <c r="G43" i="2"/>
  <c r="H43" i="2" s="1"/>
  <c r="G44" i="2"/>
  <c r="G45" i="2"/>
  <c r="G46" i="2"/>
  <c r="G47" i="2"/>
  <c r="G48" i="2"/>
  <c r="G49" i="2"/>
  <c r="G50" i="2"/>
  <c r="G51" i="2"/>
  <c r="G52" i="2"/>
  <c r="G53" i="2"/>
  <c r="H41" i="2"/>
  <c r="H42" i="2"/>
  <c r="H40" i="2"/>
  <c r="G41" i="2"/>
  <c r="G42" i="2"/>
  <c r="G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40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2" i="2"/>
  <c r="G25" i="2"/>
  <c r="G26" i="2"/>
  <c r="G27" i="2"/>
  <c r="G28" i="2"/>
  <c r="G29" i="2"/>
  <c r="G30" i="2"/>
  <c r="G31" i="2"/>
  <c r="G32" i="2"/>
  <c r="G33" i="2"/>
  <c r="G34" i="2"/>
  <c r="G35" i="2"/>
  <c r="G23" i="2"/>
  <c r="G24" i="2"/>
  <c r="G22" i="2"/>
  <c r="F24" i="2"/>
  <c r="F23" i="2"/>
  <c r="F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3" i="2"/>
  <c r="K5" i="2"/>
  <c r="K6" i="2"/>
  <c r="K7" i="2"/>
  <c r="K8" i="2"/>
  <c r="K9" i="2"/>
  <c r="K10" i="2"/>
  <c r="K11" i="2"/>
  <c r="K12" i="2"/>
  <c r="K13" i="2"/>
  <c r="K14" i="2"/>
  <c r="K15" i="2"/>
  <c r="K16" i="2"/>
  <c r="K4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3" i="2"/>
  <c r="R7" i="2"/>
  <c r="R8" i="2"/>
  <c r="R9" i="2"/>
  <c r="R10" i="2"/>
  <c r="R11" i="2"/>
  <c r="R12" i="2"/>
  <c r="R13" i="2"/>
  <c r="R14" i="2"/>
  <c r="R15" i="2"/>
  <c r="R16" i="2"/>
  <c r="R6" i="2"/>
  <c r="R5" i="2"/>
  <c r="R4" i="2"/>
  <c r="R3" i="2"/>
  <c r="V5" i="2"/>
  <c r="V6" i="2"/>
  <c r="V7" i="2"/>
  <c r="V8" i="2"/>
  <c r="V9" i="2"/>
  <c r="V10" i="2"/>
  <c r="V11" i="2"/>
  <c r="V12" i="2"/>
  <c r="V13" i="2"/>
  <c r="V14" i="2"/>
  <c r="V15" i="2"/>
  <c r="V16" i="2"/>
  <c r="V4" i="2"/>
  <c r="V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3" i="2"/>
  <c r="K3" i="1"/>
  <c r="J3" i="1"/>
</calcChain>
</file>

<file path=xl/sharedStrings.xml><?xml version="1.0" encoding="utf-8"?>
<sst xmlns="http://schemas.openxmlformats.org/spreadsheetml/2006/main" count="270" uniqueCount="92">
  <si>
    <t>ID</t>
  </si>
  <si>
    <t>FullName</t>
  </si>
  <si>
    <t>Department</t>
  </si>
  <si>
    <t>JoinDate</t>
  </si>
  <si>
    <t>MonthlySalary</t>
  </si>
  <si>
    <t>ProjectCount</t>
  </si>
  <si>
    <t>Email</t>
  </si>
  <si>
    <t>Aarav Sharma</t>
  </si>
  <si>
    <t>Sales</t>
  </si>
  <si>
    <t>aarav.sharma@example.com</t>
  </si>
  <si>
    <t>Priya Singh</t>
  </si>
  <si>
    <t>IT</t>
  </si>
  <si>
    <t>priya.singh@example.com</t>
  </si>
  <si>
    <t>Rohan Patel</t>
  </si>
  <si>
    <t>HR</t>
  </si>
  <si>
    <t>rohanp@example.com</t>
  </si>
  <si>
    <t>Ananya Verma</t>
  </si>
  <si>
    <t>Finance</t>
  </si>
  <si>
    <t>ananya.verma@example.com</t>
  </si>
  <si>
    <t>Vikram Reddy</t>
  </si>
  <si>
    <t>Marketing</t>
  </si>
  <si>
    <t>vikram.reddy@example.com</t>
  </si>
  <si>
    <t>Neha Gupta</t>
  </si>
  <si>
    <t>neha.gu@example.com</t>
  </si>
  <si>
    <t>Siddharth Jain</t>
  </si>
  <si>
    <t>sjain@example.com</t>
  </si>
  <si>
    <t>Isha Malhotra</t>
  </si>
  <si>
    <t>isha.m@example.com</t>
  </si>
  <si>
    <t>Karan Mehta</t>
  </si>
  <si>
    <t>kmehta@example.com</t>
  </si>
  <si>
    <t>Riya Kapoor</t>
  </si>
  <si>
    <t>riya.k@example.com</t>
  </si>
  <si>
    <t>Arjun Bose</t>
  </si>
  <si>
    <t>arjun.b@example.com</t>
  </si>
  <si>
    <t>Tanvi Rao</t>
  </si>
  <si>
    <t>tanvi.rao@example.com</t>
  </si>
  <si>
    <t>Rahul Mehta</t>
  </si>
  <si>
    <t>rahulm@example.com</t>
  </si>
  <si>
    <t>Sana Khan</t>
  </si>
  <si>
    <t>sanakhan@example.com</t>
  </si>
  <si>
    <t>Aditya Nair</t>
  </si>
  <si>
    <t>aditya.nair@example.com</t>
  </si>
  <si>
    <t>Meera Iyer</t>
  </si>
  <si>
    <t>meera.i@example.com</t>
  </si>
  <si>
    <t>Reyansh Roy</t>
  </si>
  <si>
    <t>reyansh.roy@example.com</t>
  </si>
  <si>
    <t>Diya Chatterjee</t>
  </si>
  <si>
    <t>diya.c@example.com</t>
  </si>
  <si>
    <t>Aryan Khanna</t>
  </si>
  <si>
    <t>aryan.kh@example.com</t>
  </si>
  <si>
    <t>Zara Ahmed</t>
  </si>
  <si>
    <t>zara.ahmed@example.com</t>
  </si>
  <si>
    <t>sum</t>
  </si>
  <si>
    <t>avr</t>
  </si>
  <si>
    <t>min</t>
  </si>
  <si>
    <t>max</t>
  </si>
  <si>
    <t>count</t>
  </si>
  <si>
    <t>Round</t>
  </si>
  <si>
    <t>Rating</t>
  </si>
  <si>
    <t>Roundup</t>
  </si>
  <si>
    <t>Rounddown</t>
  </si>
  <si>
    <t>round</t>
  </si>
  <si>
    <t>ABS</t>
  </si>
  <si>
    <t>Mod</t>
  </si>
  <si>
    <t>Power</t>
  </si>
  <si>
    <t>SQRT</t>
  </si>
  <si>
    <t>int</t>
  </si>
  <si>
    <t>Trunc</t>
  </si>
  <si>
    <t>Randbetween</t>
  </si>
  <si>
    <t>Sign</t>
  </si>
  <si>
    <t>Concate</t>
  </si>
  <si>
    <t>&amp;</t>
  </si>
  <si>
    <t>Len</t>
  </si>
  <si>
    <t>Lower</t>
  </si>
  <si>
    <t>Upper</t>
  </si>
  <si>
    <t>Proper</t>
  </si>
  <si>
    <t>Trim</t>
  </si>
  <si>
    <t xml:space="preserve">  Aarav Sharma</t>
  </si>
  <si>
    <t xml:space="preserve">Priya Singh  </t>
  </si>
  <si>
    <t>Rohan   Patel</t>
  </si>
  <si>
    <t>Ananya    Verma</t>
  </si>
  <si>
    <t>trim</t>
  </si>
  <si>
    <t>Find</t>
  </si>
  <si>
    <t>Replace</t>
  </si>
  <si>
    <t>Substitute</t>
  </si>
  <si>
    <t>Left</t>
  </si>
  <si>
    <t>find</t>
  </si>
  <si>
    <t>search</t>
  </si>
  <si>
    <t>Right</t>
  </si>
  <si>
    <t>Mid</t>
  </si>
  <si>
    <t>Exact</t>
  </si>
  <si>
    <t>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</si>
</sst>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6B3D-5D02-4FA4-B7BF-F6BAF7DBA27F}">
  <dimension ref="B2:N22"/>
  <sheetViews>
    <sheetView topLeftCell="C1" workbookViewId="0">
      <selection activeCell="K7" sqref="K7"/>
    </sheetView>
  </sheetViews>
  <sheetFormatPr defaultRowHeight="15" x14ac:dyDescent="0.25"/>
  <cols>
    <col min="2" max="2" width="4.140625" bestFit="1" customWidth="1"/>
    <col min="3" max="3" width="18.28515625" bestFit="1" customWidth="1"/>
    <col min="4" max="4" width="16.42578125" bestFit="1" customWidth="1"/>
    <col min="5" max="5" width="14.5703125" bestFit="1" customWidth="1"/>
    <col min="6" max="6" width="19.140625" bestFit="1" customWidth="1"/>
    <col min="7" max="7" width="18" bestFit="1" customWidth="1"/>
    <col min="8" max="8" width="34.42578125" bestFit="1" customWidth="1"/>
  </cols>
  <sheetData>
    <row r="2" spans="2:14" ht="2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</row>
    <row r="3" spans="2:14" ht="18.75" x14ac:dyDescent="0.3">
      <c r="B3" s="2">
        <v>1</v>
      </c>
      <c r="C3" s="2" t="s">
        <v>7</v>
      </c>
      <c r="D3" s="2" t="s">
        <v>8</v>
      </c>
      <c r="E3" s="3">
        <v>44635</v>
      </c>
      <c r="F3" s="2">
        <v>52000</v>
      </c>
      <c r="G3" s="2">
        <v>3</v>
      </c>
      <c r="H3" s="2" t="s">
        <v>9</v>
      </c>
      <c r="J3">
        <f>SUM(F3:F22)</f>
        <v>1241000</v>
      </c>
      <c r="K3">
        <f>AVERAGE(F3:F22)</f>
        <v>62050</v>
      </c>
    </row>
    <row r="4" spans="2:14" ht="18.75" x14ac:dyDescent="0.3">
      <c r="B4" s="2">
        <v>2</v>
      </c>
      <c r="C4" s="2" t="s">
        <v>10</v>
      </c>
      <c r="D4" s="2" t="s">
        <v>11</v>
      </c>
      <c r="E4" s="3">
        <v>44522</v>
      </c>
      <c r="F4" s="2">
        <v>68000</v>
      </c>
      <c r="G4" s="2">
        <v>5</v>
      </c>
      <c r="H4" s="2" t="s">
        <v>12</v>
      </c>
    </row>
    <row r="5" spans="2:14" ht="18.75" x14ac:dyDescent="0.3">
      <c r="B5" s="2">
        <v>3</v>
      </c>
      <c r="C5" s="2" t="s">
        <v>13</v>
      </c>
      <c r="D5" s="2" t="s">
        <v>14</v>
      </c>
      <c r="E5" s="3">
        <v>44936</v>
      </c>
      <c r="F5" s="2">
        <v>45000</v>
      </c>
      <c r="G5" s="2">
        <v>2</v>
      </c>
      <c r="H5" s="2" t="s">
        <v>15</v>
      </c>
      <c r="J5" t="s">
        <v>57</v>
      </c>
    </row>
    <row r="6" spans="2:14" ht="18.75" x14ac:dyDescent="0.3">
      <c r="B6" s="2">
        <v>4</v>
      </c>
      <c r="C6" s="2" t="s">
        <v>16</v>
      </c>
      <c r="D6" s="2" t="s">
        <v>17</v>
      </c>
      <c r="E6" s="3">
        <v>44030</v>
      </c>
      <c r="F6" s="2">
        <v>72000</v>
      </c>
      <c r="G6" s="2">
        <v>4</v>
      </c>
      <c r="H6" s="2" t="s">
        <v>18</v>
      </c>
    </row>
    <row r="7" spans="2:14" ht="18.75" x14ac:dyDescent="0.3">
      <c r="B7" s="2">
        <v>5</v>
      </c>
      <c r="C7" s="2" t="s">
        <v>19</v>
      </c>
      <c r="D7" s="2" t="s">
        <v>20</v>
      </c>
      <c r="E7" s="3">
        <v>44896</v>
      </c>
      <c r="F7" s="2">
        <v>61000</v>
      </c>
      <c r="G7" s="2">
        <v>1</v>
      </c>
      <c r="H7" s="2" t="s">
        <v>21</v>
      </c>
    </row>
    <row r="8" spans="2:14" ht="18.75" x14ac:dyDescent="0.3">
      <c r="B8" s="2">
        <v>6</v>
      </c>
      <c r="C8" s="2" t="s">
        <v>22</v>
      </c>
      <c r="D8" s="2" t="s">
        <v>14</v>
      </c>
      <c r="E8" s="3">
        <v>45005</v>
      </c>
      <c r="F8" s="2">
        <v>48000</v>
      </c>
      <c r="G8" s="2">
        <v>3</v>
      </c>
      <c r="H8" s="2" t="s">
        <v>23</v>
      </c>
    </row>
    <row r="9" spans="2:14" ht="18.75" x14ac:dyDescent="0.3">
      <c r="B9" s="2">
        <v>7</v>
      </c>
      <c r="C9" s="2" t="s">
        <v>24</v>
      </c>
      <c r="D9" s="2" t="s">
        <v>11</v>
      </c>
      <c r="E9" s="3">
        <v>44129</v>
      </c>
      <c r="F9" s="2">
        <v>77000</v>
      </c>
      <c r="G9" s="2">
        <v>6</v>
      </c>
      <c r="H9" s="2" t="s">
        <v>25</v>
      </c>
    </row>
    <row r="10" spans="2:14" ht="18.75" x14ac:dyDescent="0.3">
      <c r="B10" s="2">
        <v>8</v>
      </c>
      <c r="C10" s="2" t="s">
        <v>26</v>
      </c>
      <c r="D10" s="2" t="s">
        <v>8</v>
      </c>
      <c r="E10" s="3">
        <v>43691</v>
      </c>
      <c r="F10" s="2">
        <v>55000</v>
      </c>
      <c r="G10" s="2">
        <v>2</v>
      </c>
      <c r="H10" s="2" t="s">
        <v>27</v>
      </c>
    </row>
    <row r="11" spans="2:14" ht="18.75" x14ac:dyDescent="0.3">
      <c r="B11" s="2">
        <v>9</v>
      </c>
      <c r="C11" s="2" t="s">
        <v>28</v>
      </c>
      <c r="D11" s="2" t="s">
        <v>17</v>
      </c>
      <c r="E11" s="3">
        <v>45089</v>
      </c>
      <c r="F11" s="2">
        <v>70000</v>
      </c>
      <c r="G11" s="2">
        <v>4</v>
      </c>
      <c r="H11" s="2" t="s">
        <v>29</v>
      </c>
    </row>
    <row r="12" spans="2:14" ht="18.75" x14ac:dyDescent="0.3">
      <c r="B12" s="2">
        <v>10</v>
      </c>
      <c r="C12" s="2" t="s">
        <v>30</v>
      </c>
      <c r="D12" s="2" t="s">
        <v>20</v>
      </c>
      <c r="E12" s="3">
        <v>44316</v>
      </c>
      <c r="F12" s="2">
        <v>53000</v>
      </c>
      <c r="G12" s="2">
        <v>5</v>
      </c>
      <c r="H12" s="2" t="s">
        <v>31</v>
      </c>
    </row>
    <row r="13" spans="2:14" ht="18.75" x14ac:dyDescent="0.3">
      <c r="B13" s="2">
        <v>11</v>
      </c>
      <c r="C13" s="2" t="s">
        <v>32</v>
      </c>
      <c r="D13" s="2" t="s">
        <v>8</v>
      </c>
      <c r="E13" s="3">
        <v>44700</v>
      </c>
      <c r="F13" s="2">
        <v>59000</v>
      </c>
      <c r="G13" s="2">
        <v>2</v>
      </c>
      <c r="H13" s="2" t="s">
        <v>33</v>
      </c>
    </row>
    <row r="14" spans="2:14" ht="18.75" x14ac:dyDescent="0.3">
      <c r="B14" s="2">
        <v>12</v>
      </c>
      <c r="C14" s="2" t="s">
        <v>34</v>
      </c>
      <c r="D14" s="2" t="s">
        <v>11</v>
      </c>
      <c r="E14" s="3">
        <v>45173</v>
      </c>
      <c r="F14" s="2">
        <v>81000</v>
      </c>
      <c r="G14" s="2">
        <v>7</v>
      </c>
      <c r="H14" s="2" t="s">
        <v>35</v>
      </c>
    </row>
    <row r="15" spans="2:14" ht="18.75" x14ac:dyDescent="0.3">
      <c r="B15" s="2">
        <v>13</v>
      </c>
      <c r="C15" s="2" t="s">
        <v>36</v>
      </c>
      <c r="D15" s="2" t="s">
        <v>14</v>
      </c>
      <c r="E15" s="3">
        <v>43889</v>
      </c>
      <c r="F15" s="2">
        <v>62000</v>
      </c>
      <c r="G15" s="2">
        <v>3</v>
      </c>
      <c r="H15" s="2" t="s">
        <v>37</v>
      </c>
    </row>
    <row r="16" spans="2:14" ht="18.75" x14ac:dyDescent="0.3">
      <c r="B16" s="2">
        <v>14</v>
      </c>
      <c r="C16" s="2" t="s">
        <v>38</v>
      </c>
      <c r="D16" s="2" t="s">
        <v>17</v>
      </c>
      <c r="E16" s="3">
        <v>45247</v>
      </c>
      <c r="F16" s="2">
        <v>64000</v>
      </c>
      <c r="G16" s="2">
        <v>1</v>
      </c>
      <c r="H16" s="2" t="s">
        <v>39</v>
      </c>
    </row>
    <row r="17" spans="2:8" ht="18.75" x14ac:dyDescent="0.3">
      <c r="B17" s="2">
        <v>15</v>
      </c>
      <c r="C17" s="2" t="s">
        <v>40</v>
      </c>
      <c r="D17" s="2" t="s">
        <v>20</v>
      </c>
      <c r="E17" s="3">
        <v>44388</v>
      </c>
      <c r="F17" s="2">
        <v>56000</v>
      </c>
      <c r="G17" s="2">
        <v>2</v>
      </c>
      <c r="H17" s="2" t="s">
        <v>41</v>
      </c>
    </row>
    <row r="18" spans="2:8" ht="18.75" x14ac:dyDescent="0.3">
      <c r="B18" s="2">
        <v>16</v>
      </c>
      <c r="C18" s="2" t="s">
        <v>42</v>
      </c>
      <c r="D18" s="2" t="s">
        <v>8</v>
      </c>
      <c r="E18" s="3">
        <v>44809</v>
      </c>
      <c r="F18" s="2">
        <v>58000</v>
      </c>
      <c r="G18" s="2">
        <v>3</v>
      </c>
      <c r="H18" s="2" t="s">
        <v>43</v>
      </c>
    </row>
    <row r="19" spans="2:8" ht="18.75" x14ac:dyDescent="0.3">
      <c r="B19" s="2">
        <v>17</v>
      </c>
      <c r="C19" s="2" t="s">
        <v>44</v>
      </c>
      <c r="D19" s="2" t="s">
        <v>11</v>
      </c>
      <c r="E19" s="3">
        <v>45097</v>
      </c>
      <c r="F19" s="2">
        <v>79000</v>
      </c>
      <c r="G19" s="2">
        <v>4</v>
      </c>
      <c r="H19" s="2" t="s">
        <v>45</v>
      </c>
    </row>
    <row r="20" spans="2:8" ht="18.75" x14ac:dyDescent="0.3">
      <c r="B20" s="2">
        <v>18</v>
      </c>
      <c r="C20" s="2" t="s">
        <v>46</v>
      </c>
      <c r="D20" s="2" t="s">
        <v>17</v>
      </c>
      <c r="E20" s="3">
        <v>44774</v>
      </c>
      <c r="F20" s="2">
        <v>67000</v>
      </c>
      <c r="G20" s="2">
        <v>2</v>
      </c>
      <c r="H20" s="2" t="s">
        <v>47</v>
      </c>
    </row>
    <row r="21" spans="2:8" ht="18.75" x14ac:dyDescent="0.3">
      <c r="B21" s="2">
        <v>19</v>
      </c>
      <c r="C21" s="2" t="s">
        <v>48</v>
      </c>
      <c r="D21" s="2" t="s">
        <v>20</v>
      </c>
      <c r="E21" s="3">
        <v>43889</v>
      </c>
      <c r="F21" s="2">
        <v>60000</v>
      </c>
      <c r="G21" s="2">
        <v>5</v>
      </c>
      <c r="H21" s="2" t="s">
        <v>49</v>
      </c>
    </row>
    <row r="22" spans="2:8" ht="18.75" x14ac:dyDescent="0.3">
      <c r="B22" s="2">
        <v>20</v>
      </c>
      <c r="C22" s="2" t="s">
        <v>50</v>
      </c>
      <c r="D22" s="2" t="s">
        <v>8</v>
      </c>
      <c r="E22" s="3">
        <v>45240</v>
      </c>
      <c r="F22" s="2">
        <v>54000</v>
      </c>
      <c r="G22" s="2">
        <v>1</v>
      </c>
      <c r="H22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5BEC-203F-412B-893C-1D8300377C94}">
  <dimension ref="A2:W89"/>
  <sheetViews>
    <sheetView tabSelected="1" topLeftCell="A68" workbookViewId="0">
      <selection activeCell="E77" sqref="E77"/>
    </sheetView>
  </sheetViews>
  <sheetFormatPr defaultRowHeight="15" x14ac:dyDescent="0.25"/>
  <cols>
    <col min="1" max="1" width="17" bestFit="1" customWidth="1"/>
    <col min="2" max="2" width="16.42578125" bestFit="1" customWidth="1"/>
    <col min="3" max="3" width="14.5703125" bestFit="1" customWidth="1"/>
    <col min="4" max="4" width="19.140625" bestFit="1" customWidth="1"/>
    <col min="5" max="5" width="18" bestFit="1" customWidth="1"/>
    <col min="6" max="6" width="19.140625" bestFit="1" customWidth="1"/>
    <col min="7" max="7" width="17.140625" customWidth="1"/>
    <col min="8" max="8" width="18.7109375" bestFit="1" customWidth="1"/>
    <col min="9" max="16" width="17.140625" customWidth="1"/>
    <col min="18" max="18" width="9.28515625" bestFit="1" customWidth="1"/>
    <col min="19" max="19" width="12.42578125" bestFit="1" customWidth="1"/>
    <col min="20" max="20" width="16.140625" bestFit="1" customWidth="1"/>
  </cols>
  <sheetData>
    <row r="2" spans="1:23" ht="2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58</v>
      </c>
      <c r="H2" s="4" t="s">
        <v>68</v>
      </c>
      <c r="I2" s="4" t="s">
        <v>69</v>
      </c>
      <c r="J2" s="4" t="s">
        <v>64</v>
      </c>
      <c r="K2" s="4" t="s">
        <v>65</v>
      </c>
      <c r="L2" s="4" t="s">
        <v>66</v>
      </c>
      <c r="M2" s="4" t="s">
        <v>67</v>
      </c>
      <c r="N2" s="4" t="s">
        <v>62</v>
      </c>
      <c r="O2" s="4" t="s">
        <v>63</v>
      </c>
      <c r="R2" s="4" t="s">
        <v>57</v>
      </c>
      <c r="S2" s="4" t="s">
        <v>59</v>
      </c>
      <c r="T2" s="4" t="s">
        <v>60</v>
      </c>
      <c r="V2" s="6" t="s">
        <v>59</v>
      </c>
      <c r="W2" s="6" t="s">
        <v>61</v>
      </c>
    </row>
    <row r="3" spans="1:23" ht="18.75" x14ac:dyDescent="0.3">
      <c r="A3" s="2" t="s">
        <v>7</v>
      </c>
      <c r="B3" s="2" t="s">
        <v>8</v>
      </c>
      <c r="C3" s="3">
        <v>44635</v>
      </c>
      <c r="D3" s="2">
        <v>52000</v>
      </c>
      <c r="E3" s="2">
        <v>3</v>
      </c>
      <c r="F3" s="2">
        <v>1.8789460535129718</v>
      </c>
      <c r="G3" s="7"/>
      <c r="H3" s="7">
        <f ca="1">RANDBETWEEN(1, 10)</f>
        <v>9</v>
      </c>
      <c r="I3" s="7">
        <f>SIGN(E3)</f>
        <v>1</v>
      </c>
      <c r="J3" s="7">
        <f>POWER(E3,2)</f>
        <v>9</v>
      </c>
      <c r="K3" s="7">
        <f>SQRT(E3)</f>
        <v>1.7320508075688772</v>
      </c>
      <c r="L3" s="7">
        <f>INT(F3)</f>
        <v>1</v>
      </c>
      <c r="M3" s="7">
        <f>TRUNC(F3,3)</f>
        <v>1.8779999999999999</v>
      </c>
      <c r="N3" s="7">
        <f>ABS(E3)</f>
        <v>3</v>
      </c>
      <c r="O3" s="7">
        <f>MOD(E3,5)</f>
        <v>3</v>
      </c>
      <c r="P3" s="7">
        <f>E3/5</f>
        <v>0.6</v>
      </c>
      <c r="R3">
        <f>ROUND(F3, 2)</f>
        <v>1.88</v>
      </c>
      <c r="S3">
        <f>ROUNDUP(F3,2)</f>
        <v>1.8800000000000001</v>
      </c>
      <c r="T3">
        <f>ROUNDDOWN(F3,2)</f>
        <v>1.87</v>
      </c>
      <c r="V3">
        <f>ROUNDUP(F3, 0)</f>
        <v>2</v>
      </c>
      <c r="W3">
        <f>ROUND(F3,0)</f>
        <v>2</v>
      </c>
    </row>
    <row r="4" spans="1:23" ht="18.75" x14ac:dyDescent="0.3">
      <c r="A4" s="2" t="s">
        <v>10</v>
      </c>
      <c r="B4" s="2" t="s">
        <v>11</v>
      </c>
      <c r="C4" s="3">
        <v>44522</v>
      </c>
      <c r="D4" s="2">
        <v>68000</v>
      </c>
      <c r="E4" s="2">
        <v>5</v>
      </c>
      <c r="F4" s="2">
        <v>2.3177886334163116</v>
      </c>
      <c r="G4" s="7"/>
      <c r="H4" s="7">
        <f t="shared" ref="H4:H16" ca="1" si="0">RANDBETWEEN(1, 10)</f>
        <v>7</v>
      </c>
      <c r="I4" s="7">
        <f t="shared" ref="I4:I16" si="1">SIGN(E4)</f>
        <v>1</v>
      </c>
      <c r="J4" s="7">
        <f t="shared" ref="J4:J16" si="2">POWER(E4,2)</f>
        <v>25</v>
      </c>
      <c r="K4" s="7">
        <f>SQRT(E4)</f>
        <v>2.2360679774997898</v>
      </c>
      <c r="L4" s="7">
        <f t="shared" ref="L4:L16" si="3">INT(F4)</f>
        <v>2</v>
      </c>
      <c r="M4" s="7">
        <f t="shared" ref="M4:M16" si="4">TRUNC(F4,3)</f>
        <v>2.3170000000000002</v>
      </c>
      <c r="N4" s="7">
        <f t="shared" ref="N4:N16" si="5">ABS(E4)</f>
        <v>5</v>
      </c>
      <c r="O4" s="7">
        <f t="shared" ref="O4:O16" si="6">MOD(E4,5)</f>
        <v>0</v>
      </c>
      <c r="P4" s="7">
        <f t="shared" ref="P4:P16" si="7">E4/5</f>
        <v>1</v>
      </c>
      <c r="R4">
        <f>ROUND(F4, 2)</f>
        <v>2.3199999999999998</v>
      </c>
      <c r="S4">
        <f t="shared" ref="S4:S16" si="8">ROUNDUP(F4,2)</f>
        <v>2.3199999999999998</v>
      </c>
      <c r="T4">
        <f t="shared" ref="T4:T16" si="9">ROUNDDOWN(F4,2)</f>
        <v>2.31</v>
      </c>
      <c r="V4">
        <f>ROUNDUP(F4, 0)</f>
        <v>3</v>
      </c>
      <c r="W4">
        <f t="shared" ref="W4:W16" si="10">ROUND(F4,0)</f>
        <v>2</v>
      </c>
    </row>
    <row r="5" spans="1:23" ht="18.75" x14ac:dyDescent="0.3">
      <c r="A5" s="2" t="s">
        <v>13</v>
      </c>
      <c r="B5" s="2" t="s">
        <v>14</v>
      </c>
      <c r="C5" s="3">
        <v>44936</v>
      </c>
      <c r="D5" s="2">
        <v>45000</v>
      </c>
      <c r="E5" s="2">
        <v>-2</v>
      </c>
      <c r="F5" s="2">
        <v>4.8607747338667817</v>
      </c>
      <c r="G5" s="7"/>
      <c r="H5" s="7">
        <f t="shared" ca="1" si="0"/>
        <v>2</v>
      </c>
      <c r="I5" s="7">
        <f t="shared" si="1"/>
        <v>-1</v>
      </c>
      <c r="J5" s="7">
        <f t="shared" si="2"/>
        <v>4</v>
      </c>
      <c r="K5" s="7" t="str">
        <f>IFERROR(SQRT(E5), "invalid")</f>
        <v>invalid</v>
      </c>
      <c r="L5" s="7">
        <f t="shared" si="3"/>
        <v>4</v>
      </c>
      <c r="M5" s="7">
        <f t="shared" si="4"/>
        <v>4.8600000000000003</v>
      </c>
      <c r="N5" s="7">
        <f t="shared" si="5"/>
        <v>2</v>
      </c>
      <c r="O5" s="7">
        <f t="shared" si="6"/>
        <v>3</v>
      </c>
      <c r="P5" s="7">
        <f t="shared" si="7"/>
        <v>-0.4</v>
      </c>
      <c r="R5">
        <f>ROUND(F5, 2)</f>
        <v>4.8600000000000003</v>
      </c>
      <c r="S5">
        <f t="shared" si="8"/>
        <v>4.87</v>
      </c>
      <c r="T5">
        <f t="shared" si="9"/>
        <v>4.8600000000000003</v>
      </c>
      <c r="V5">
        <f t="shared" ref="V5:V16" si="11">ROUNDUP(F5, 0)</f>
        <v>5</v>
      </c>
      <c r="W5">
        <f t="shared" si="10"/>
        <v>5</v>
      </c>
    </row>
    <row r="6" spans="1:23" ht="18.75" x14ac:dyDescent="0.3">
      <c r="A6" s="2" t="s">
        <v>16</v>
      </c>
      <c r="B6" s="2" t="s">
        <v>17</v>
      </c>
      <c r="C6" s="3">
        <v>44030</v>
      </c>
      <c r="D6" s="2">
        <v>72000</v>
      </c>
      <c r="E6" s="2">
        <v>4</v>
      </c>
      <c r="F6" s="2">
        <v>23232323</v>
      </c>
      <c r="G6" s="7"/>
      <c r="H6" s="7">
        <f t="shared" ca="1" si="0"/>
        <v>5</v>
      </c>
      <c r="I6" s="7">
        <f t="shared" si="1"/>
        <v>1</v>
      </c>
      <c r="J6" s="7">
        <f t="shared" si="2"/>
        <v>16</v>
      </c>
      <c r="K6" s="7">
        <f t="shared" ref="K6:K16" si="12">IFERROR(SQRT(E6), "invalid")</f>
        <v>2</v>
      </c>
      <c r="L6" s="7">
        <f t="shared" si="3"/>
        <v>23232323</v>
      </c>
      <c r="M6" s="7">
        <f t="shared" si="4"/>
        <v>23232323</v>
      </c>
      <c r="N6" s="7">
        <f t="shared" si="5"/>
        <v>4</v>
      </c>
      <c r="O6" s="7">
        <f t="shared" si="6"/>
        <v>4</v>
      </c>
      <c r="P6" s="7">
        <f t="shared" si="7"/>
        <v>0.8</v>
      </c>
      <c r="R6">
        <f>ROUND(F6, 2)</f>
        <v>23232323</v>
      </c>
      <c r="S6">
        <f t="shared" si="8"/>
        <v>23232323</v>
      </c>
      <c r="T6">
        <f t="shared" si="9"/>
        <v>23232323</v>
      </c>
      <c r="V6">
        <f t="shared" si="11"/>
        <v>23232323</v>
      </c>
      <c r="W6">
        <f t="shared" si="10"/>
        <v>23232323</v>
      </c>
    </row>
    <row r="7" spans="1:23" ht="18.75" x14ac:dyDescent="0.3">
      <c r="A7" s="2" t="s">
        <v>19</v>
      </c>
      <c r="B7" s="2" t="s">
        <v>20</v>
      </c>
      <c r="C7" s="3">
        <v>44896</v>
      </c>
      <c r="D7" s="2">
        <v>61000</v>
      </c>
      <c r="E7" s="2">
        <v>-3</v>
      </c>
      <c r="F7" s="2">
        <v>3.5610211642107004</v>
      </c>
      <c r="G7" s="7"/>
      <c r="H7" s="7">
        <f t="shared" ca="1" si="0"/>
        <v>10</v>
      </c>
      <c r="I7" s="7">
        <f t="shared" si="1"/>
        <v>-1</v>
      </c>
      <c r="J7" s="7">
        <f t="shared" si="2"/>
        <v>9</v>
      </c>
      <c r="K7" s="7" t="str">
        <f t="shared" si="12"/>
        <v>invalid</v>
      </c>
      <c r="L7" s="7">
        <f t="shared" si="3"/>
        <v>3</v>
      </c>
      <c r="M7" s="7">
        <f t="shared" si="4"/>
        <v>3.5609999999999999</v>
      </c>
      <c r="N7" s="7">
        <f t="shared" si="5"/>
        <v>3</v>
      </c>
      <c r="O7" s="7">
        <f t="shared" si="6"/>
        <v>2</v>
      </c>
      <c r="P7" s="7">
        <f t="shared" si="7"/>
        <v>-0.6</v>
      </c>
      <c r="R7">
        <f t="shared" ref="R7:R16" si="13">ROUND(F7, 2)</f>
        <v>3.56</v>
      </c>
      <c r="S7">
        <f t="shared" si="8"/>
        <v>3.57</v>
      </c>
      <c r="T7">
        <f t="shared" si="9"/>
        <v>3.56</v>
      </c>
      <c r="V7">
        <f t="shared" si="11"/>
        <v>4</v>
      </c>
      <c r="W7">
        <f t="shared" si="10"/>
        <v>4</v>
      </c>
    </row>
    <row r="8" spans="1:23" ht="18.75" x14ac:dyDescent="0.3">
      <c r="A8" s="2" t="s">
        <v>22</v>
      </c>
      <c r="B8" s="2" t="s">
        <v>14</v>
      </c>
      <c r="C8" s="3">
        <v>45005</v>
      </c>
      <c r="D8" s="2">
        <v>48000</v>
      </c>
      <c r="E8" s="2">
        <v>0</v>
      </c>
      <c r="F8" s="2">
        <v>3.7183055984749593</v>
      </c>
      <c r="G8" s="7"/>
      <c r="H8" s="7">
        <f t="shared" ca="1" si="0"/>
        <v>9</v>
      </c>
      <c r="I8" s="7">
        <f t="shared" si="1"/>
        <v>0</v>
      </c>
      <c r="J8" s="7">
        <f t="shared" si="2"/>
        <v>0</v>
      </c>
      <c r="K8" s="7">
        <f t="shared" si="12"/>
        <v>0</v>
      </c>
      <c r="L8" s="7">
        <f t="shared" si="3"/>
        <v>3</v>
      </c>
      <c r="M8" s="7">
        <f t="shared" si="4"/>
        <v>3.718</v>
      </c>
      <c r="N8" s="7">
        <f t="shared" si="5"/>
        <v>0</v>
      </c>
      <c r="O8" s="7">
        <f t="shared" si="6"/>
        <v>0</v>
      </c>
      <c r="P8" s="7">
        <f t="shared" si="7"/>
        <v>0</v>
      </c>
      <c r="R8">
        <f t="shared" si="13"/>
        <v>3.72</v>
      </c>
      <c r="S8">
        <f t="shared" si="8"/>
        <v>3.7199999999999998</v>
      </c>
      <c r="T8">
        <f t="shared" si="9"/>
        <v>3.71</v>
      </c>
      <c r="V8">
        <f t="shared" si="11"/>
        <v>4</v>
      </c>
      <c r="W8">
        <f t="shared" si="10"/>
        <v>4</v>
      </c>
    </row>
    <row r="9" spans="1:23" ht="18.75" x14ac:dyDescent="0.3">
      <c r="A9" s="2" t="s">
        <v>24</v>
      </c>
      <c r="B9" s="2" t="s">
        <v>11</v>
      </c>
      <c r="C9" s="3">
        <v>44129</v>
      </c>
      <c r="D9" s="2">
        <v>77000</v>
      </c>
      <c r="E9" s="2">
        <v>6</v>
      </c>
      <c r="F9" s="2">
        <v>4.0550210782457228</v>
      </c>
      <c r="G9" s="7"/>
      <c r="H9" s="7">
        <f t="shared" ca="1" si="0"/>
        <v>5</v>
      </c>
      <c r="I9" s="7">
        <f t="shared" si="1"/>
        <v>1</v>
      </c>
      <c r="J9" s="7">
        <f t="shared" si="2"/>
        <v>36</v>
      </c>
      <c r="K9" s="7">
        <f t="shared" si="12"/>
        <v>2.4494897427831779</v>
      </c>
      <c r="L9" s="7">
        <f t="shared" si="3"/>
        <v>4</v>
      </c>
      <c r="M9" s="7">
        <f t="shared" si="4"/>
        <v>4.0549999999999997</v>
      </c>
      <c r="N9" s="7">
        <f t="shared" si="5"/>
        <v>6</v>
      </c>
      <c r="O9" s="7">
        <f t="shared" si="6"/>
        <v>1</v>
      </c>
      <c r="P9" s="7">
        <f t="shared" si="7"/>
        <v>1.2</v>
      </c>
      <c r="R9">
        <f t="shared" si="13"/>
        <v>4.0599999999999996</v>
      </c>
      <c r="S9">
        <f t="shared" si="8"/>
        <v>4.0599999999999996</v>
      </c>
      <c r="T9">
        <f t="shared" si="9"/>
        <v>4.05</v>
      </c>
      <c r="V9">
        <f t="shared" si="11"/>
        <v>5</v>
      </c>
      <c r="W9">
        <f t="shared" si="10"/>
        <v>4</v>
      </c>
    </row>
    <row r="10" spans="1:23" ht="18.75" x14ac:dyDescent="0.3">
      <c r="A10" s="2" t="s">
        <v>26</v>
      </c>
      <c r="B10" s="2" t="s">
        <v>8</v>
      </c>
      <c r="C10" s="3">
        <v>43691</v>
      </c>
      <c r="D10" s="2">
        <v>55000</v>
      </c>
      <c r="E10" s="2">
        <v>-6</v>
      </c>
      <c r="F10" s="2">
        <v>1.4048132542450515</v>
      </c>
      <c r="G10" s="7"/>
      <c r="H10" s="7">
        <f t="shared" ca="1" si="0"/>
        <v>5</v>
      </c>
      <c r="I10" s="7">
        <f t="shared" si="1"/>
        <v>-1</v>
      </c>
      <c r="J10" s="7">
        <f t="shared" si="2"/>
        <v>36</v>
      </c>
      <c r="K10" s="7" t="str">
        <f t="shared" si="12"/>
        <v>invalid</v>
      </c>
      <c r="L10" s="7">
        <f t="shared" si="3"/>
        <v>1</v>
      </c>
      <c r="M10" s="7">
        <f t="shared" si="4"/>
        <v>1.4039999999999999</v>
      </c>
      <c r="N10" s="7">
        <f t="shared" si="5"/>
        <v>6</v>
      </c>
      <c r="O10" s="7">
        <f t="shared" si="6"/>
        <v>4</v>
      </c>
      <c r="P10" s="7">
        <f t="shared" si="7"/>
        <v>-1.2</v>
      </c>
      <c r="R10">
        <f t="shared" si="13"/>
        <v>1.4</v>
      </c>
      <c r="S10">
        <f t="shared" si="8"/>
        <v>1.41</v>
      </c>
      <c r="T10">
        <f t="shared" si="9"/>
        <v>1.4</v>
      </c>
      <c r="V10">
        <f t="shared" si="11"/>
        <v>2</v>
      </c>
      <c r="W10">
        <f t="shared" si="10"/>
        <v>1</v>
      </c>
    </row>
    <row r="11" spans="1:23" ht="18.75" x14ac:dyDescent="0.3">
      <c r="A11" s="2" t="s">
        <v>28</v>
      </c>
      <c r="B11" s="2" t="s">
        <v>17</v>
      </c>
      <c r="C11" s="3">
        <v>45089</v>
      </c>
      <c r="D11" s="2">
        <v>70000</v>
      </c>
      <c r="E11" s="2">
        <v>4</v>
      </c>
      <c r="F11" s="2">
        <v>4.6771298342769674</v>
      </c>
      <c r="G11" s="7"/>
      <c r="H11" s="7">
        <f t="shared" ca="1" si="0"/>
        <v>10</v>
      </c>
      <c r="I11" s="7">
        <f t="shared" si="1"/>
        <v>1</v>
      </c>
      <c r="J11" s="7">
        <f t="shared" si="2"/>
        <v>16</v>
      </c>
      <c r="K11" s="7">
        <f t="shared" si="12"/>
        <v>2</v>
      </c>
      <c r="L11" s="7">
        <f t="shared" si="3"/>
        <v>4</v>
      </c>
      <c r="M11" s="7">
        <f t="shared" si="4"/>
        <v>4.6769999999999996</v>
      </c>
      <c r="N11" s="7">
        <f t="shared" si="5"/>
        <v>4</v>
      </c>
      <c r="O11" s="7">
        <f t="shared" si="6"/>
        <v>4</v>
      </c>
      <c r="P11" s="7">
        <f t="shared" si="7"/>
        <v>0.8</v>
      </c>
      <c r="R11">
        <f t="shared" si="13"/>
        <v>4.68</v>
      </c>
      <c r="S11">
        <f t="shared" si="8"/>
        <v>4.68</v>
      </c>
      <c r="T11">
        <f t="shared" si="9"/>
        <v>4.67</v>
      </c>
      <c r="V11">
        <f t="shared" si="11"/>
        <v>5</v>
      </c>
      <c r="W11">
        <f t="shared" si="10"/>
        <v>5</v>
      </c>
    </row>
    <row r="12" spans="1:23" ht="18.75" x14ac:dyDescent="0.3">
      <c r="A12" s="2" t="s">
        <v>30</v>
      </c>
      <c r="B12" s="2" t="s">
        <v>20</v>
      </c>
      <c r="C12" s="3">
        <v>44316</v>
      </c>
      <c r="D12" s="2">
        <v>53000</v>
      </c>
      <c r="E12" s="2">
        <v>5</v>
      </c>
      <c r="F12" s="2">
        <v>2.7949272774119249</v>
      </c>
      <c r="G12" s="7"/>
      <c r="H12" s="7">
        <f t="shared" ca="1" si="0"/>
        <v>2</v>
      </c>
      <c r="I12" s="7">
        <f t="shared" si="1"/>
        <v>1</v>
      </c>
      <c r="J12" s="7">
        <f t="shared" si="2"/>
        <v>25</v>
      </c>
      <c r="K12" s="7">
        <f t="shared" si="12"/>
        <v>2.2360679774997898</v>
      </c>
      <c r="L12" s="7">
        <f t="shared" si="3"/>
        <v>2</v>
      </c>
      <c r="M12" s="7">
        <f t="shared" si="4"/>
        <v>2.794</v>
      </c>
      <c r="N12" s="7">
        <f t="shared" si="5"/>
        <v>5</v>
      </c>
      <c r="O12" s="7">
        <f t="shared" si="6"/>
        <v>0</v>
      </c>
      <c r="P12" s="7">
        <f t="shared" si="7"/>
        <v>1</v>
      </c>
      <c r="R12">
        <f t="shared" si="13"/>
        <v>2.79</v>
      </c>
      <c r="S12">
        <f t="shared" si="8"/>
        <v>2.8</v>
      </c>
      <c r="T12">
        <f t="shared" si="9"/>
        <v>2.79</v>
      </c>
      <c r="V12">
        <f t="shared" si="11"/>
        <v>3</v>
      </c>
      <c r="W12">
        <f t="shared" si="10"/>
        <v>3</v>
      </c>
    </row>
    <row r="13" spans="1:23" ht="18.75" x14ac:dyDescent="0.3">
      <c r="A13" s="2" t="s">
        <v>32</v>
      </c>
      <c r="B13" s="2" t="s">
        <v>8</v>
      </c>
      <c r="C13" s="3">
        <v>44700</v>
      </c>
      <c r="D13" s="2">
        <v>59000</v>
      </c>
      <c r="E13" s="2">
        <v>2</v>
      </c>
      <c r="F13" s="2">
        <v>2.7573130515870412</v>
      </c>
      <c r="G13" s="7"/>
      <c r="H13" s="7">
        <f t="shared" ca="1" si="0"/>
        <v>3</v>
      </c>
      <c r="I13" s="7">
        <f t="shared" si="1"/>
        <v>1</v>
      </c>
      <c r="J13" s="7">
        <f t="shared" si="2"/>
        <v>4</v>
      </c>
      <c r="K13" s="7">
        <f t="shared" si="12"/>
        <v>1.4142135623730951</v>
      </c>
      <c r="L13" s="7">
        <f t="shared" si="3"/>
        <v>2</v>
      </c>
      <c r="M13" s="7">
        <f t="shared" si="4"/>
        <v>2.7570000000000001</v>
      </c>
      <c r="N13" s="7">
        <f t="shared" si="5"/>
        <v>2</v>
      </c>
      <c r="O13" s="7">
        <f t="shared" si="6"/>
        <v>2</v>
      </c>
      <c r="P13" s="7">
        <f t="shared" si="7"/>
        <v>0.4</v>
      </c>
      <c r="R13">
        <f t="shared" si="13"/>
        <v>2.76</v>
      </c>
      <c r="S13">
        <f t="shared" si="8"/>
        <v>2.76</v>
      </c>
      <c r="T13">
        <f t="shared" si="9"/>
        <v>2.75</v>
      </c>
      <c r="V13">
        <f t="shared" si="11"/>
        <v>3</v>
      </c>
      <c r="W13">
        <f t="shared" si="10"/>
        <v>3</v>
      </c>
    </row>
    <row r="14" spans="1:23" ht="18.75" x14ac:dyDescent="0.3">
      <c r="A14" s="2" t="s">
        <v>34</v>
      </c>
      <c r="B14" s="2" t="s">
        <v>11</v>
      </c>
      <c r="C14" s="3">
        <v>45173</v>
      </c>
      <c r="D14" s="2">
        <v>81000</v>
      </c>
      <c r="E14" s="2">
        <v>7</v>
      </c>
      <c r="F14" s="2">
        <v>1.3041974209066014</v>
      </c>
      <c r="G14" s="7"/>
      <c r="H14" s="7">
        <f t="shared" ca="1" si="0"/>
        <v>7</v>
      </c>
      <c r="I14" s="7">
        <f t="shared" si="1"/>
        <v>1</v>
      </c>
      <c r="J14" s="7">
        <f t="shared" si="2"/>
        <v>49</v>
      </c>
      <c r="K14" s="7">
        <f t="shared" si="12"/>
        <v>2.6457513110645907</v>
      </c>
      <c r="L14" s="7">
        <f t="shared" si="3"/>
        <v>1</v>
      </c>
      <c r="M14" s="7">
        <f t="shared" si="4"/>
        <v>1.304</v>
      </c>
      <c r="N14" s="7">
        <f t="shared" si="5"/>
        <v>7</v>
      </c>
      <c r="O14" s="7">
        <f t="shared" si="6"/>
        <v>2</v>
      </c>
      <c r="P14" s="7">
        <f t="shared" si="7"/>
        <v>1.4</v>
      </c>
      <c r="R14">
        <f t="shared" si="13"/>
        <v>1.3</v>
      </c>
      <c r="S14">
        <f t="shared" si="8"/>
        <v>1.31</v>
      </c>
      <c r="T14">
        <f t="shared" si="9"/>
        <v>1.3</v>
      </c>
      <c r="V14">
        <f t="shared" si="11"/>
        <v>2</v>
      </c>
      <c r="W14">
        <f t="shared" si="10"/>
        <v>1</v>
      </c>
    </row>
    <row r="15" spans="1:23" ht="18.75" x14ac:dyDescent="0.3">
      <c r="A15" s="2" t="s">
        <v>36</v>
      </c>
      <c r="B15" s="2" t="s">
        <v>14</v>
      </c>
      <c r="C15" s="3">
        <v>43889</v>
      </c>
      <c r="D15" s="2">
        <v>62000</v>
      </c>
      <c r="E15" s="2">
        <v>3</v>
      </c>
      <c r="F15" s="2">
        <v>3.0367431799212303</v>
      </c>
      <c r="G15" s="7"/>
      <c r="H15" s="7">
        <f t="shared" ca="1" si="0"/>
        <v>3</v>
      </c>
      <c r="I15" s="7">
        <f t="shared" si="1"/>
        <v>1</v>
      </c>
      <c r="J15" s="7">
        <f t="shared" si="2"/>
        <v>9</v>
      </c>
      <c r="K15" s="7">
        <f t="shared" si="12"/>
        <v>1.7320508075688772</v>
      </c>
      <c r="L15" s="7">
        <f t="shared" si="3"/>
        <v>3</v>
      </c>
      <c r="M15" s="7">
        <f t="shared" si="4"/>
        <v>3.036</v>
      </c>
      <c r="N15" s="7">
        <f t="shared" si="5"/>
        <v>3</v>
      </c>
      <c r="O15" s="7">
        <f t="shared" si="6"/>
        <v>3</v>
      </c>
      <c r="P15" s="7">
        <f t="shared" si="7"/>
        <v>0.6</v>
      </c>
      <c r="R15">
        <f t="shared" si="13"/>
        <v>3.04</v>
      </c>
      <c r="S15">
        <f t="shared" si="8"/>
        <v>3.0399999999999996</v>
      </c>
      <c r="T15">
        <f t="shared" si="9"/>
        <v>3.03</v>
      </c>
      <c r="V15">
        <f t="shared" si="11"/>
        <v>4</v>
      </c>
      <c r="W15">
        <f t="shared" si="10"/>
        <v>3</v>
      </c>
    </row>
    <row r="16" spans="1:23" ht="18.75" x14ac:dyDescent="0.3">
      <c r="A16" s="2" t="s">
        <v>38</v>
      </c>
      <c r="B16" s="2" t="s">
        <v>17</v>
      </c>
      <c r="C16" s="3">
        <v>45247</v>
      </c>
      <c r="D16" s="2">
        <v>64000</v>
      </c>
      <c r="E16" s="2">
        <v>1</v>
      </c>
      <c r="F16" s="2">
        <v>3.0367431799212303</v>
      </c>
      <c r="G16" s="7"/>
      <c r="H16" s="7">
        <f t="shared" ca="1" si="0"/>
        <v>9</v>
      </c>
      <c r="I16" s="7">
        <f t="shared" si="1"/>
        <v>1</v>
      </c>
      <c r="J16" s="7">
        <f t="shared" si="2"/>
        <v>1</v>
      </c>
      <c r="K16" s="7">
        <f t="shared" si="12"/>
        <v>1</v>
      </c>
      <c r="L16" s="7">
        <f t="shared" si="3"/>
        <v>3</v>
      </c>
      <c r="M16" s="7">
        <f t="shared" si="4"/>
        <v>3.036</v>
      </c>
      <c r="N16" s="7">
        <f t="shared" si="5"/>
        <v>1</v>
      </c>
      <c r="O16" s="7">
        <f t="shared" si="6"/>
        <v>1</v>
      </c>
      <c r="P16" s="7">
        <f t="shared" si="7"/>
        <v>0.2</v>
      </c>
      <c r="R16">
        <f t="shared" si="13"/>
        <v>3.04</v>
      </c>
      <c r="S16">
        <f t="shared" si="8"/>
        <v>3.0399999999999996</v>
      </c>
      <c r="T16">
        <f t="shared" si="9"/>
        <v>3.03</v>
      </c>
      <c r="V16">
        <f t="shared" si="11"/>
        <v>4</v>
      </c>
      <c r="W16">
        <f t="shared" si="10"/>
        <v>3</v>
      </c>
    </row>
    <row r="21" spans="1:12" ht="21" x14ac:dyDescent="0.35">
      <c r="A21" s="1" t="s">
        <v>1</v>
      </c>
      <c r="B21" s="1" t="s">
        <v>2</v>
      </c>
      <c r="C21" s="1" t="s">
        <v>3</v>
      </c>
      <c r="D21" s="1" t="s">
        <v>4</v>
      </c>
      <c r="F21" s="6" t="s">
        <v>72</v>
      </c>
      <c r="G21" s="6" t="s">
        <v>73</v>
      </c>
      <c r="H21" s="6" t="s">
        <v>74</v>
      </c>
      <c r="I21" s="6" t="s">
        <v>75</v>
      </c>
      <c r="K21" s="4" t="s">
        <v>70</v>
      </c>
      <c r="L21" s="4" t="s">
        <v>71</v>
      </c>
    </row>
    <row r="22" spans="1:12" ht="18.75" x14ac:dyDescent="0.3">
      <c r="A22" s="2" t="s">
        <v>7</v>
      </c>
      <c r="B22" s="2" t="s">
        <v>8</v>
      </c>
      <c r="C22" s="3">
        <v>44635</v>
      </c>
      <c r="D22" s="2">
        <v>52000</v>
      </c>
      <c r="E22" s="7"/>
      <c r="F22" s="7">
        <f>LEN(A22)</f>
        <v>12</v>
      </c>
      <c r="G22" s="7" t="str">
        <f>LOWER(A22)</f>
        <v>aarav sharma</v>
      </c>
      <c r="H22" s="7" t="str">
        <f>UPPER(B22)</f>
        <v>SALES</v>
      </c>
      <c r="I22" s="7" t="str">
        <f>PROPER(G22)</f>
        <v>Aarav Sharma</v>
      </c>
      <c r="K22" t="str">
        <f>_xlfn.CONCAT(A22, "@", B22)</f>
        <v>Aarav Sharma@Sales</v>
      </c>
      <c r="L22" t="str">
        <f>A22&amp;" "&amp;B22</f>
        <v>Aarav Sharma Sales</v>
      </c>
    </row>
    <row r="23" spans="1:12" ht="18.75" x14ac:dyDescent="0.3">
      <c r="A23" s="2" t="s">
        <v>10</v>
      </c>
      <c r="B23" s="2" t="s">
        <v>11</v>
      </c>
      <c r="C23" s="3">
        <v>44522</v>
      </c>
      <c r="D23" s="2">
        <v>68000</v>
      </c>
      <c r="E23" s="7"/>
      <c r="F23" s="7">
        <f>LEN(C22)</f>
        <v>5</v>
      </c>
      <c r="G23" s="7" t="str">
        <f t="shared" ref="G23:G35" si="14">LOWER(A23)</f>
        <v>priya singh</v>
      </c>
      <c r="H23" s="7" t="str">
        <f t="shared" ref="H23:H35" si="15">UPPER(B23)</f>
        <v>IT</v>
      </c>
      <c r="I23" s="7" t="str">
        <f t="shared" ref="I23:I35" si="16">PROPER(G23)</f>
        <v>Priya Singh</v>
      </c>
      <c r="K23" t="str">
        <f>_xlfn.CONCAT(A23, "@", B23)</f>
        <v>Priya Singh@IT</v>
      </c>
      <c r="L23" t="str">
        <f>A23&amp;" "&amp;B23</f>
        <v>Priya Singh IT</v>
      </c>
    </row>
    <row r="24" spans="1:12" ht="18.75" x14ac:dyDescent="0.3">
      <c r="A24" s="2" t="s">
        <v>13</v>
      </c>
      <c r="B24" s="2" t="s">
        <v>14</v>
      </c>
      <c r="C24" s="3">
        <v>44936</v>
      </c>
      <c r="D24" s="2">
        <v>45000</v>
      </c>
      <c r="E24" s="7"/>
      <c r="F24" s="7">
        <f>LEN(D22)</f>
        <v>5</v>
      </c>
      <c r="G24" s="7" t="str">
        <f t="shared" si="14"/>
        <v>rohan patel</v>
      </c>
      <c r="H24" s="7" t="str">
        <f t="shared" si="15"/>
        <v>HR</v>
      </c>
      <c r="I24" s="7" t="str">
        <f t="shared" si="16"/>
        <v>Rohan Patel</v>
      </c>
      <c r="K24" t="str">
        <f>_xlfn.CONCAT(A24, "@", B24)</f>
        <v>Rohan Patel@HR</v>
      </c>
      <c r="L24" t="str">
        <f>A24&amp;" "&amp;B24</f>
        <v>Rohan Patel HR</v>
      </c>
    </row>
    <row r="25" spans="1:12" ht="18.75" x14ac:dyDescent="0.3">
      <c r="A25" s="2" t="s">
        <v>16</v>
      </c>
      <c r="B25" s="2" t="s">
        <v>17</v>
      </c>
      <c r="C25" s="3">
        <v>44030</v>
      </c>
      <c r="D25" s="2">
        <v>72000</v>
      </c>
      <c r="E25" s="7"/>
      <c r="F25" s="7"/>
      <c r="G25" s="7" t="str">
        <f t="shared" si="14"/>
        <v>ananya verma</v>
      </c>
      <c r="H25" s="7" t="str">
        <f t="shared" si="15"/>
        <v>FINANCE</v>
      </c>
      <c r="I25" s="7" t="str">
        <f t="shared" si="16"/>
        <v>Ananya Verma</v>
      </c>
      <c r="K25" t="str">
        <f>_xlfn.CONCAT(A25, "@", B25)</f>
        <v>Ananya Verma@Finance</v>
      </c>
      <c r="L25" t="str">
        <f>A25&amp;" "&amp;B25</f>
        <v>Ananya Verma Finance</v>
      </c>
    </row>
    <row r="26" spans="1:12" ht="18.75" x14ac:dyDescent="0.3">
      <c r="A26" s="2" t="s">
        <v>19</v>
      </c>
      <c r="B26" s="2" t="s">
        <v>20</v>
      </c>
      <c r="C26" s="3">
        <v>44896</v>
      </c>
      <c r="D26" s="2">
        <v>61000</v>
      </c>
      <c r="E26" s="7"/>
      <c r="F26" s="7"/>
      <c r="G26" s="7" t="str">
        <f t="shared" si="14"/>
        <v>vikram reddy</v>
      </c>
      <c r="H26" s="7" t="str">
        <f t="shared" si="15"/>
        <v>MARKETING</v>
      </c>
      <c r="I26" s="7" t="str">
        <f t="shared" si="16"/>
        <v>Vikram Reddy</v>
      </c>
      <c r="K26" t="str">
        <f>_xlfn.CONCAT(A26, "@", B26)</f>
        <v>Vikram Reddy@Marketing</v>
      </c>
      <c r="L26" t="str">
        <f>A26&amp;" "&amp;B26</f>
        <v>Vikram Reddy Marketing</v>
      </c>
    </row>
    <row r="27" spans="1:12" ht="18.75" x14ac:dyDescent="0.3">
      <c r="A27" s="2" t="s">
        <v>22</v>
      </c>
      <c r="B27" s="2" t="s">
        <v>14</v>
      </c>
      <c r="C27" s="3">
        <v>45005</v>
      </c>
      <c r="D27" s="2">
        <v>48000</v>
      </c>
      <c r="E27" s="7"/>
      <c r="F27" s="7"/>
      <c r="G27" s="7" t="str">
        <f t="shared" si="14"/>
        <v>neha gupta</v>
      </c>
      <c r="H27" s="7" t="str">
        <f t="shared" si="15"/>
        <v>HR</v>
      </c>
      <c r="I27" s="7" t="str">
        <f t="shared" si="16"/>
        <v>Neha Gupta</v>
      </c>
      <c r="K27" t="str">
        <f>_xlfn.CONCAT(A27, "@", B27)</f>
        <v>Neha Gupta@HR</v>
      </c>
      <c r="L27" t="str">
        <f>A27&amp;" "&amp;B27</f>
        <v>Neha Gupta HR</v>
      </c>
    </row>
    <row r="28" spans="1:12" ht="18.75" x14ac:dyDescent="0.3">
      <c r="A28" s="2" t="s">
        <v>24</v>
      </c>
      <c r="B28" s="2" t="s">
        <v>11</v>
      </c>
      <c r="C28" s="3">
        <v>44129</v>
      </c>
      <c r="D28" s="2">
        <v>77000</v>
      </c>
      <c r="E28" s="7"/>
      <c r="F28" s="7"/>
      <c r="G28" s="7" t="str">
        <f t="shared" si="14"/>
        <v>siddharth jain</v>
      </c>
      <c r="H28" s="7" t="str">
        <f t="shared" si="15"/>
        <v>IT</v>
      </c>
      <c r="I28" s="7" t="str">
        <f t="shared" si="16"/>
        <v>Siddharth Jain</v>
      </c>
      <c r="K28" t="str">
        <f>_xlfn.CONCAT(A28, "@", B28)</f>
        <v>Siddharth Jain@IT</v>
      </c>
      <c r="L28" t="str">
        <f>A28&amp;" "&amp;B28</f>
        <v>Siddharth Jain IT</v>
      </c>
    </row>
    <row r="29" spans="1:12" ht="18.75" x14ac:dyDescent="0.3">
      <c r="A29" s="2" t="s">
        <v>26</v>
      </c>
      <c r="B29" s="2" t="s">
        <v>8</v>
      </c>
      <c r="C29" s="3">
        <v>43691</v>
      </c>
      <c r="D29" s="2">
        <v>55000</v>
      </c>
      <c r="E29" s="7"/>
      <c r="F29" s="7"/>
      <c r="G29" s="7" t="str">
        <f t="shared" si="14"/>
        <v>isha malhotra</v>
      </c>
      <c r="H29" s="7" t="str">
        <f t="shared" si="15"/>
        <v>SALES</v>
      </c>
      <c r="I29" s="7" t="str">
        <f t="shared" si="16"/>
        <v>Isha Malhotra</v>
      </c>
      <c r="K29" t="str">
        <f>_xlfn.CONCAT(A29, "@", B29)</f>
        <v>Isha Malhotra@Sales</v>
      </c>
      <c r="L29" t="str">
        <f>A29&amp;" "&amp;B29</f>
        <v>Isha Malhotra Sales</v>
      </c>
    </row>
    <row r="30" spans="1:12" ht="18.75" x14ac:dyDescent="0.3">
      <c r="A30" s="2" t="s">
        <v>28</v>
      </c>
      <c r="B30" s="2" t="s">
        <v>17</v>
      </c>
      <c r="C30" s="3">
        <v>45089</v>
      </c>
      <c r="D30" s="2">
        <v>70000</v>
      </c>
      <c r="E30" s="7"/>
      <c r="F30" s="7"/>
      <c r="G30" s="7" t="str">
        <f t="shared" si="14"/>
        <v>karan mehta</v>
      </c>
      <c r="H30" s="7" t="str">
        <f t="shared" si="15"/>
        <v>FINANCE</v>
      </c>
      <c r="I30" s="7" t="str">
        <f t="shared" si="16"/>
        <v>Karan Mehta</v>
      </c>
      <c r="K30" t="str">
        <f>_xlfn.CONCAT(A30, "@", B30)</f>
        <v>Karan Mehta@Finance</v>
      </c>
      <c r="L30" t="str">
        <f>A30&amp;" "&amp;B30</f>
        <v>Karan Mehta Finance</v>
      </c>
    </row>
    <row r="31" spans="1:12" ht="18.75" x14ac:dyDescent="0.3">
      <c r="A31" s="2" t="s">
        <v>30</v>
      </c>
      <c r="B31" s="2" t="s">
        <v>20</v>
      </c>
      <c r="C31" s="3">
        <v>44316</v>
      </c>
      <c r="D31" s="2">
        <v>53000</v>
      </c>
      <c r="E31" s="7"/>
      <c r="F31" s="7"/>
      <c r="G31" s="7" t="str">
        <f t="shared" si="14"/>
        <v>riya kapoor</v>
      </c>
      <c r="H31" s="7" t="str">
        <f t="shared" si="15"/>
        <v>MARKETING</v>
      </c>
      <c r="I31" s="7" t="str">
        <f t="shared" si="16"/>
        <v>Riya Kapoor</v>
      </c>
      <c r="K31" t="str">
        <f>_xlfn.CONCAT(A31, "@", B31)</f>
        <v>Riya Kapoor@Marketing</v>
      </c>
      <c r="L31" t="str">
        <f>A31&amp;" "&amp;B31</f>
        <v>Riya Kapoor Marketing</v>
      </c>
    </row>
    <row r="32" spans="1:12" ht="18.75" x14ac:dyDescent="0.3">
      <c r="A32" s="2" t="s">
        <v>32</v>
      </c>
      <c r="B32" s="2" t="s">
        <v>8</v>
      </c>
      <c r="C32" s="3">
        <v>44700</v>
      </c>
      <c r="D32" s="2">
        <v>59000</v>
      </c>
      <c r="E32" s="7"/>
      <c r="F32" s="7"/>
      <c r="G32" s="7" t="str">
        <f t="shared" si="14"/>
        <v>arjun bose</v>
      </c>
      <c r="H32" s="7" t="str">
        <f t="shared" si="15"/>
        <v>SALES</v>
      </c>
      <c r="I32" s="7" t="str">
        <f t="shared" si="16"/>
        <v>Arjun Bose</v>
      </c>
      <c r="K32" t="str">
        <f>_xlfn.CONCAT(A32, "@", B32)</f>
        <v>Arjun Bose@Sales</v>
      </c>
      <c r="L32" t="str">
        <f>A32&amp;" "&amp;B32</f>
        <v>Arjun Bose Sales</v>
      </c>
    </row>
    <row r="33" spans="1:12" ht="18.75" x14ac:dyDescent="0.3">
      <c r="A33" s="2" t="s">
        <v>34</v>
      </c>
      <c r="B33" s="2" t="s">
        <v>11</v>
      </c>
      <c r="C33" s="3">
        <v>45173</v>
      </c>
      <c r="D33" s="2">
        <v>81000</v>
      </c>
      <c r="E33" s="7"/>
      <c r="F33" s="7"/>
      <c r="G33" s="7" t="str">
        <f t="shared" si="14"/>
        <v>tanvi rao</v>
      </c>
      <c r="H33" s="7" t="str">
        <f t="shared" si="15"/>
        <v>IT</v>
      </c>
      <c r="I33" s="7" t="str">
        <f t="shared" si="16"/>
        <v>Tanvi Rao</v>
      </c>
      <c r="K33" t="str">
        <f>_xlfn.CONCAT(A33, "@", B33)</f>
        <v>Tanvi Rao@IT</v>
      </c>
      <c r="L33" t="str">
        <f>A33&amp;" "&amp;B33</f>
        <v>Tanvi Rao IT</v>
      </c>
    </row>
    <row r="34" spans="1:12" ht="18.75" x14ac:dyDescent="0.3">
      <c r="A34" s="2" t="s">
        <v>36</v>
      </c>
      <c r="B34" s="2" t="s">
        <v>14</v>
      </c>
      <c r="C34" s="3">
        <v>43889</v>
      </c>
      <c r="D34" s="2">
        <v>62000</v>
      </c>
      <c r="E34" s="7"/>
      <c r="F34" s="7"/>
      <c r="G34" s="7" t="str">
        <f t="shared" si="14"/>
        <v>rahul mehta</v>
      </c>
      <c r="H34" s="7" t="str">
        <f t="shared" si="15"/>
        <v>HR</v>
      </c>
      <c r="I34" s="7" t="str">
        <f t="shared" si="16"/>
        <v>Rahul Mehta</v>
      </c>
      <c r="K34" t="str">
        <f>_xlfn.CONCAT(A34, "@", B34)</f>
        <v>Rahul Mehta@HR</v>
      </c>
      <c r="L34" t="str">
        <f>A34&amp;" "&amp;B34</f>
        <v>Rahul Mehta HR</v>
      </c>
    </row>
    <row r="35" spans="1:12" ht="18.75" x14ac:dyDescent="0.3">
      <c r="A35" s="2" t="s">
        <v>38</v>
      </c>
      <c r="B35" s="2" t="s">
        <v>17</v>
      </c>
      <c r="C35" s="3">
        <v>45247</v>
      </c>
      <c r="D35" s="2">
        <v>64000</v>
      </c>
      <c r="E35" s="7"/>
      <c r="F35" s="7"/>
      <c r="G35" s="7" t="str">
        <f t="shared" si="14"/>
        <v>sana khan</v>
      </c>
      <c r="H35" s="7" t="str">
        <f t="shared" si="15"/>
        <v>FINANCE</v>
      </c>
      <c r="I35" s="7" t="str">
        <f t="shared" si="16"/>
        <v>Sana Khan</v>
      </c>
      <c r="K35" t="str">
        <f>_xlfn.CONCAT(A35, "@", B35)</f>
        <v>Sana Khan@Finance</v>
      </c>
      <c r="L35" t="str">
        <f>A35&amp;" "&amp;B35</f>
        <v>Sana Khan Finance</v>
      </c>
    </row>
    <row r="39" spans="1:12" ht="21" x14ac:dyDescent="0.35">
      <c r="A39" s="1" t="s">
        <v>1</v>
      </c>
      <c r="B39" s="1" t="s">
        <v>2</v>
      </c>
      <c r="C39" s="1" t="s">
        <v>3</v>
      </c>
      <c r="D39" s="1" t="s">
        <v>4</v>
      </c>
      <c r="F39" s="4" t="s">
        <v>72</v>
      </c>
      <c r="G39" s="4" t="s">
        <v>76</v>
      </c>
      <c r="H39" s="4" t="s">
        <v>72</v>
      </c>
      <c r="I39" s="4" t="s">
        <v>72</v>
      </c>
      <c r="J39" s="4" t="s">
        <v>81</v>
      </c>
    </row>
    <row r="40" spans="1:12" ht="18.75" x14ac:dyDescent="0.3">
      <c r="A40" s="2" t="s">
        <v>77</v>
      </c>
      <c r="B40" s="2" t="s">
        <v>8</v>
      </c>
      <c r="C40" s="3">
        <v>44635</v>
      </c>
      <c r="D40" s="2">
        <v>52000</v>
      </c>
      <c r="F40">
        <f>LEN(A40)</f>
        <v>14</v>
      </c>
      <c r="G40" t="str">
        <f>TRIM(A40)</f>
        <v>Aarav Sharma</v>
      </c>
      <c r="H40">
        <f>LEN(G40)</f>
        <v>12</v>
      </c>
      <c r="I40">
        <f>LEN(D40)</f>
        <v>5</v>
      </c>
      <c r="J40" t="str">
        <f>TRIM(D40)</f>
        <v>52000</v>
      </c>
    </row>
    <row r="41" spans="1:12" ht="18.75" x14ac:dyDescent="0.3">
      <c r="A41" s="2" t="s">
        <v>78</v>
      </c>
      <c r="B41" s="2" t="s">
        <v>11</v>
      </c>
      <c r="C41" s="3">
        <v>44522</v>
      </c>
      <c r="D41" s="2">
        <v>68000</v>
      </c>
      <c r="F41">
        <f t="shared" ref="F41:F53" si="17">LEN(A41)</f>
        <v>13</v>
      </c>
      <c r="G41" t="str">
        <f t="shared" ref="G41:G53" si="18">TRIM(A41)</f>
        <v>Priya Singh</v>
      </c>
      <c r="H41">
        <f t="shared" ref="H41:H53" si="19">LEN(G41)</f>
        <v>11</v>
      </c>
      <c r="I41">
        <f t="shared" ref="I41:I53" si="20">LEN(D41)</f>
        <v>5</v>
      </c>
      <c r="J41" t="str">
        <f t="shared" ref="J41:J53" si="21">TRIM(D41)</f>
        <v>68000</v>
      </c>
    </row>
    <row r="42" spans="1:12" ht="18.75" x14ac:dyDescent="0.3">
      <c r="A42" s="2" t="s">
        <v>79</v>
      </c>
      <c r="B42" s="2" t="s">
        <v>14</v>
      </c>
      <c r="C42" s="3">
        <v>44936</v>
      </c>
      <c r="D42" s="2">
        <v>45000</v>
      </c>
      <c r="F42">
        <f t="shared" si="17"/>
        <v>13</v>
      </c>
      <c r="G42" t="str">
        <f t="shared" si="18"/>
        <v>Rohan Patel</v>
      </c>
      <c r="H42">
        <f t="shared" si="19"/>
        <v>11</v>
      </c>
      <c r="I42">
        <f t="shared" si="20"/>
        <v>5</v>
      </c>
      <c r="J42" t="str">
        <f t="shared" si="21"/>
        <v>45000</v>
      </c>
    </row>
    <row r="43" spans="1:12" ht="18.75" x14ac:dyDescent="0.3">
      <c r="A43" s="2" t="s">
        <v>80</v>
      </c>
      <c r="B43" s="2" t="s">
        <v>17</v>
      </c>
      <c r="C43" s="3">
        <v>44030</v>
      </c>
      <c r="D43" s="2">
        <v>72000</v>
      </c>
      <c r="F43">
        <f t="shared" si="17"/>
        <v>15</v>
      </c>
      <c r="G43" t="str">
        <f t="shared" si="18"/>
        <v>Ananya Verma</v>
      </c>
      <c r="H43">
        <f t="shared" si="19"/>
        <v>12</v>
      </c>
      <c r="I43">
        <f t="shared" si="20"/>
        <v>5</v>
      </c>
      <c r="J43" t="str">
        <f t="shared" si="21"/>
        <v>72000</v>
      </c>
    </row>
    <row r="44" spans="1:12" ht="18.75" x14ac:dyDescent="0.3">
      <c r="A44" s="2" t="s">
        <v>19</v>
      </c>
      <c r="B44" s="2" t="s">
        <v>20</v>
      </c>
      <c r="C44" s="3">
        <v>44896</v>
      </c>
      <c r="D44" s="2">
        <v>61000</v>
      </c>
      <c r="F44">
        <f t="shared" si="17"/>
        <v>12</v>
      </c>
      <c r="G44" t="str">
        <f t="shared" si="18"/>
        <v>Vikram Reddy</v>
      </c>
      <c r="H44">
        <f t="shared" si="19"/>
        <v>12</v>
      </c>
      <c r="I44">
        <f t="shared" si="20"/>
        <v>5</v>
      </c>
      <c r="J44" t="str">
        <f t="shared" si="21"/>
        <v>61000</v>
      </c>
    </row>
    <row r="45" spans="1:12" ht="18.75" x14ac:dyDescent="0.3">
      <c r="A45" s="2" t="s">
        <v>22</v>
      </c>
      <c r="B45" s="2" t="s">
        <v>14</v>
      </c>
      <c r="C45" s="3">
        <v>45005</v>
      </c>
      <c r="D45" s="2">
        <v>48000</v>
      </c>
      <c r="F45">
        <f t="shared" si="17"/>
        <v>10</v>
      </c>
      <c r="G45" t="str">
        <f t="shared" si="18"/>
        <v>Neha Gupta</v>
      </c>
      <c r="H45">
        <f t="shared" si="19"/>
        <v>10</v>
      </c>
      <c r="I45">
        <f t="shared" si="20"/>
        <v>5</v>
      </c>
      <c r="J45" t="str">
        <f t="shared" si="21"/>
        <v>48000</v>
      </c>
    </row>
    <row r="46" spans="1:12" ht="18.75" x14ac:dyDescent="0.3">
      <c r="A46" s="2" t="s">
        <v>24</v>
      </c>
      <c r="B46" s="2" t="s">
        <v>11</v>
      </c>
      <c r="C46" s="3">
        <v>44129</v>
      </c>
      <c r="D46" s="2">
        <v>77000</v>
      </c>
      <c r="F46">
        <f t="shared" si="17"/>
        <v>14</v>
      </c>
      <c r="G46" t="str">
        <f t="shared" si="18"/>
        <v>Siddharth Jain</v>
      </c>
      <c r="H46">
        <f t="shared" si="19"/>
        <v>14</v>
      </c>
      <c r="I46">
        <f t="shared" si="20"/>
        <v>5</v>
      </c>
      <c r="J46" t="str">
        <f t="shared" si="21"/>
        <v>77000</v>
      </c>
    </row>
    <row r="47" spans="1:12" ht="18.75" x14ac:dyDescent="0.3">
      <c r="A47" s="2" t="s">
        <v>26</v>
      </c>
      <c r="B47" s="2" t="s">
        <v>8</v>
      </c>
      <c r="C47" s="3">
        <v>43691</v>
      </c>
      <c r="D47" s="2">
        <v>55000</v>
      </c>
      <c r="F47">
        <f t="shared" si="17"/>
        <v>13</v>
      </c>
      <c r="G47" t="str">
        <f t="shared" si="18"/>
        <v>Isha Malhotra</v>
      </c>
      <c r="H47">
        <f t="shared" si="19"/>
        <v>13</v>
      </c>
      <c r="I47">
        <f t="shared" si="20"/>
        <v>5</v>
      </c>
      <c r="J47" t="str">
        <f t="shared" si="21"/>
        <v>55000</v>
      </c>
    </row>
    <row r="48" spans="1:12" ht="18.75" x14ac:dyDescent="0.3">
      <c r="A48" s="2" t="s">
        <v>28</v>
      </c>
      <c r="B48" s="2" t="s">
        <v>17</v>
      </c>
      <c r="C48" s="3">
        <v>45089</v>
      </c>
      <c r="D48" s="2">
        <v>70000</v>
      </c>
      <c r="F48">
        <f t="shared" si="17"/>
        <v>11</v>
      </c>
      <c r="G48" t="str">
        <f t="shared" si="18"/>
        <v>Karan Mehta</v>
      </c>
      <c r="H48">
        <f t="shared" si="19"/>
        <v>11</v>
      </c>
      <c r="I48">
        <f t="shared" si="20"/>
        <v>5</v>
      </c>
      <c r="J48" t="str">
        <f t="shared" si="21"/>
        <v>70000</v>
      </c>
    </row>
    <row r="49" spans="1:10" ht="18.75" x14ac:dyDescent="0.3">
      <c r="A49" s="2" t="s">
        <v>30</v>
      </c>
      <c r="B49" s="2" t="s">
        <v>20</v>
      </c>
      <c r="C49" s="3">
        <v>44316</v>
      </c>
      <c r="D49" s="2">
        <v>53000</v>
      </c>
      <c r="F49">
        <f t="shared" si="17"/>
        <v>11</v>
      </c>
      <c r="G49" t="str">
        <f t="shared" si="18"/>
        <v>Riya Kapoor</v>
      </c>
      <c r="H49">
        <f t="shared" si="19"/>
        <v>11</v>
      </c>
      <c r="I49">
        <f t="shared" si="20"/>
        <v>5</v>
      </c>
      <c r="J49" t="str">
        <f t="shared" si="21"/>
        <v>53000</v>
      </c>
    </row>
    <row r="50" spans="1:10" ht="18.75" x14ac:dyDescent="0.3">
      <c r="A50" s="2" t="s">
        <v>32</v>
      </c>
      <c r="B50" s="2" t="s">
        <v>8</v>
      </c>
      <c r="C50" s="3">
        <v>44700</v>
      </c>
      <c r="D50" s="2">
        <v>59000</v>
      </c>
      <c r="F50">
        <f t="shared" si="17"/>
        <v>10</v>
      </c>
      <c r="G50" t="str">
        <f t="shared" si="18"/>
        <v>Arjun Bose</v>
      </c>
      <c r="H50">
        <f t="shared" si="19"/>
        <v>10</v>
      </c>
      <c r="I50">
        <f t="shared" si="20"/>
        <v>5</v>
      </c>
      <c r="J50" t="str">
        <f t="shared" si="21"/>
        <v>59000</v>
      </c>
    </row>
    <row r="51" spans="1:10" ht="18.75" x14ac:dyDescent="0.3">
      <c r="A51" s="2" t="s">
        <v>34</v>
      </c>
      <c r="B51" s="2" t="s">
        <v>11</v>
      </c>
      <c r="C51" s="3">
        <v>45173</v>
      </c>
      <c r="D51" s="2">
        <v>81000</v>
      </c>
      <c r="F51">
        <f t="shared" si="17"/>
        <v>9</v>
      </c>
      <c r="G51" t="str">
        <f t="shared" si="18"/>
        <v>Tanvi Rao</v>
      </c>
      <c r="H51">
        <f t="shared" si="19"/>
        <v>9</v>
      </c>
      <c r="I51">
        <f t="shared" si="20"/>
        <v>5</v>
      </c>
      <c r="J51" t="str">
        <f t="shared" si="21"/>
        <v>81000</v>
      </c>
    </row>
    <row r="52" spans="1:10" ht="18.75" x14ac:dyDescent="0.3">
      <c r="A52" s="2" t="s">
        <v>36</v>
      </c>
      <c r="B52" s="2" t="s">
        <v>14</v>
      </c>
      <c r="C52" s="3">
        <v>43889</v>
      </c>
      <c r="D52" s="2">
        <v>62000</v>
      </c>
      <c r="F52">
        <f t="shared" si="17"/>
        <v>11</v>
      </c>
      <c r="G52" t="str">
        <f t="shared" si="18"/>
        <v>Rahul Mehta</v>
      </c>
      <c r="H52">
        <f t="shared" si="19"/>
        <v>11</v>
      </c>
      <c r="I52">
        <f t="shared" si="20"/>
        <v>5</v>
      </c>
      <c r="J52" t="str">
        <f t="shared" si="21"/>
        <v>62000</v>
      </c>
    </row>
    <row r="53" spans="1:10" ht="18.75" x14ac:dyDescent="0.3">
      <c r="A53" s="2" t="s">
        <v>38</v>
      </c>
      <c r="B53" s="2" t="s">
        <v>17</v>
      </c>
      <c r="C53" s="3">
        <v>45247</v>
      </c>
      <c r="D53" s="2">
        <v>64000</v>
      </c>
      <c r="F53">
        <f t="shared" si="17"/>
        <v>9</v>
      </c>
      <c r="G53" t="str">
        <f t="shared" si="18"/>
        <v>Sana Khan</v>
      </c>
      <c r="H53">
        <f t="shared" si="19"/>
        <v>9</v>
      </c>
      <c r="I53">
        <f t="shared" si="20"/>
        <v>5</v>
      </c>
      <c r="J53" t="str">
        <f t="shared" si="21"/>
        <v>64000</v>
      </c>
    </row>
    <row r="57" spans="1:10" ht="21" x14ac:dyDescent="0.35">
      <c r="A57" s="1" t="s">
        <v>1</v>
      </c>
      <c r="B57" s="1" t="s">
        <v>2</v>
      </c>
      <c r="C57" s="1" t="s">
        <v>3</v>
      </c>
      <c r="D57" s="1" t="s">
        <v>4</v>
      </c>
      <c r="E57" s="5" t="s">
        <v>86</v>
      </c>
      <c r="F57" s="4" t="s">
        <v>82</v>
      </c>
      <c r="G57" s="4" t="s">
        <v>83</v>
      </c>
      <c r="H57" s="4" t="s">
        <v>84</v>
      </c>
      <c r="I57" s="4" t="s">
        <v>84</v>
      </c>
      <c r="J57" s="4" t="s">
        <v>87</v>
      </c>
    </row>
    <row r="58" spans="1:10" ht="18.75" x14ac:dyDescent="0.3">
      <c r="A58" s="2" t="s">
        <v>77</v>
      </c>
      <c r="B58" s="2" t="s">
        <v>8</v>
      </c>
      <c r="C58" s="3">
        <v>44635</v>
      </c>
      <c r="D58" s="2">
        <v>52000</v>
      </c>
      <c r="E58">
        <f>FIND("a", A58,FIND("a", A58)+1)</f>
        <v>6</v>
      </c>
      <c r="F58">
        <f>FIND("a", A58)</f>
        <v>4</v>
      </c>
      <c r="G58" t="str">
        <f>REPLACE(A58,3, 5, "x_")</f>
        <v xml:space="preserve">  x_ Sharma</v>
      </c>
      <c r="H58" t="str">
        <f>SUBSTITUTE(A58, "a", "x")</f>
        <v xml:space="preserve">  Axrxv Shxrmx</v>
      </c>
      <c r="I58" t="str">
        <f>SUBSTITUTE(A58, "a","---",2)</f>
        <v xml:space="preserve">  Aar---v Sharma</v>
      </c>
    </row>
    <row r="59" spans="1:10" ht="18.75" x14ac:dyDescent="0.3">
      <c r="A59" s="2" t="s">
        <v>78</v>
      </c>
      <c r="B59" s="2" t="s">
        <v>11</v>
      </c>
      <c r="C59" s="3">
        <v>44522</v>
      </c>
      <c r="D59" s="2">
        <v>68000</v>
      </c>
      <c r="E59" t="e">
        <f t="shared" ref="E59:E66" si="22">FIND("a", A59,FIND("a", A59)+1)</f>
        <v>#VALUE!</v>
      </c>
      <c r="F59">
        <f t="shared" ref="F59:F71" si="23">FIND("a", A59)</f>
        <v>5</v>
      </c>
      <c r="G59" t="str">
        <f t="shared" ref="G59:G71" si="24">REPLACE(A59,3, 5, "x_")</f>
        <v xml:space="preserve">Prx_ingh  </v>
      </c>
      <c r="H59" t="str">
        <f t="shared" ref="H59:H71" si="25">SUBSTITUTE(A59, "a", "x")</f>
        <v xml:space="preserve">Priyx Singh  </v>
      </c>
      <c r="I59" t="str">
        <f t="shared" ref="I59:I71" si="26">SUBSTITUTE(A59, "a","---",2)</f>
        <v xml:space="preserve">Priya Singh  </v>
      </c>
    </row>
    <row r="60" spans="1:10" ht="18.75" x14ac:dyDescent="0.3">
      <c r="A60" s="2" t="s">
        <v>79</v>
      </c>
      <c r="B60" s="2" t="s">
        <v>14</v>
      </c>
      <c r="C60" s="3">
        <v>44936</v>
      </c>
      <c r="D60" s="2">
        <v>45000</v>
      </c>
      <c r="E60">
        <f t="shared" si="22"/>
        <v>10</v>
      </c>
      <c r="F60">
        <f t="shared" si="23"/>
        <v>4</v>
      </c>
      <c r="G60" t="str">
        <f t="shared" si="24"/>
        <v>Rox_ Patel</v>
      </c>
      <c r="H60" t="str">
        <f t="shared" si="25"/>
        <v>Rohxn   Pxtel</v>
      </c>
      <c r="I60" t="str">
        <f t="shared" si="26"/>
        <v>Rohan   P---tel</v>
      </c>
    </row>
    <row r="61" spans="1:10" ht="18.75" x14ac:dyDescent="0.3">
      <c r="A61" s="2" t="s">
        <v>80</v>
      </c>
      <c r="B61" s="2" t="s">
        <v>17</v>
      </c>
      <c r="C61" s="3">
        <v>44030</v>
      </c>
      <c r="D61" s="2">
        <v>72000</v>
      </c>
      <c r="E61">
        <f t="shared" si="22"/>
        <v>6</v>
      </c>
      <c r="F61">
        <f t="shared" si="23"/>
        <v>3</v>
      </c>
      <c r="G61" t="str">
        <f t="shared" si="24"/>
        <v>Anx_   Verma</v>
      </c>
      <c r="H61" t="str">
        <f t="shared" si="25"/>
        <v>Anxnyx    Vermx</v>
      </c>
      <c r="I61" t="str">
        <f t="shared" si="26"/>
        <v>Anany---    Verma</v>
      </c>
    </row>
    <row r="62" spans="1:10" ht="18.75" x14ac:dyDescent="0.3">
      <c r="A62" s="2" t="s">
        <v>19</v>
      </c>
      <c r="B62" s="2" t="s">
        <v>20</v>
      </c>
      <c r="C62" s="3">
        <v>44896</v>
      </c>
      <c r="D62" s="2">
        <v>61000</v>
      </c>
      <c r="E62" t="e">
        <f t="shared" si="22"/>
        <v>#VALUE!</v>
      </c>
      <c r="F62">
        <f t="shared" si="23"/>
        <v>5</v>
      </c>
      <c r="G62" t="str">
        <f t="shared" si="24"/>
        <v>Vix_Reddy</v>
      </c>
      <c r="H62" t="str">
        <f t="shared" si="25"/>
        <v>Vikrxm Reddy</v>
      </c>
      <c r="I62" t="str">
        <f t="shared" si="26"/>
        <v>Vikram Reddy</v>
      </c>
    </row>
    <row r="63" spans="1:10" ht="18.75" x14ac:dyDescent="0.3">
      <c r="A63" s="2" t="s">
        <v>22</v>
      </c>
      <c r="B63" s="2" t="s">
        <v>14</v>
      </c>
      <c r="C63" s="3">
        <v>45005</v>
      </c>
      <c r="D63" s="2">
        <v>48000</v>
      </c>
      <c r="E63">
        <f t="shared" si="22"/>
        <v>10</v>
      </c>
      <c r="F63">
        <f t="shared" si="23"/>
        <v>4</v>
      </c>
      <c r="G63" t="str">
        <f t="shared" si="24"/>
        <v>Nex_pta</v>
      </c>
      <c r="H63" t="str">
        <f t="shared" si="25"/>
        <v>Nehx Guptx</v>
      </c>
      <c r="I63" t="str">
        <f t="shared" si="26"/>
        <v>Neha Gupt---</v>
      </c>
    </row>
    <row r="64" spans="1:10" ht="18.75" x14ac:dyDescent="0.3">
      <c r="A64" s="2" t="s">
        <v>24</v>
      </c>
      <c r="B64" s="2" t="s">
        <v>11</v>
      </c>
      <c r="C64" s="3">
        <v>44129</v>
      </c>
      <c r="D64" s="2">
        <v>77000</v>
      </c>
      <c r="E64">
        <f t="shared" si="22"/>
        <v>12</v>
      </c>
      <c r="F64">
        <f t="shared" si="23"/>
        <v>6</v>
      </c>
      <c r="G64" t="str">
        <f t="shared" si="24"/>
        <v>Six_th Jain</v>
      </c>
      <c r="H64" t="str">
        <f t="shared" si="25"/>
        <v>Siddhxrth Jxin</v>
      </c>
      <c r="I64" t="str">
        <f t="shared" si="26"/>
        <v>Siddharth J---in</v>
      </c>
    </row>
    <row r="65" spans="1:10" ht="18.75" x14ac:dyDescent="0.3">
      <c r="A65" s="2" t="s">
        <v>26</v>
      </c>
      <c r="B65" s="2" t="s">
        <v>8</v>
      </c>
      <c r="C65" s="3">
        <v>43691</v>
      </c>
      <c r="D65" s="2">
        <v>55000</v>
      </c>
      <c r="E65">
        <f t="shared" si="22"/>
        <v>7</v>
      </c>
      <c r="F65">
        <f t="shared" si="23"/>
        <v>4</v>
      </c>
      <c r="G65" t="str">
        <f t="shared" si="24"/>
        <v>Isx_lhotra</v>
      </c>
      <c r="H65" t="str">
        <f t="shared" si="25"/>
        <v>Ishx Mxlhotrx</v>
      </c>
      <c r="I65" t="str">
        <f t="shared" si="26"/>
        <v>Isha M---lhotra</v>
      </c>
    </row>
    <row r="66" spans="1:10" ht="18.75" x14ac:dyDescent="0.3">
      <c r="A66" s="2" t="s">
        <v>28</v>
      </c>
      <c r="B66" s="2" t="s">
        <v>17</v>
      </c>
      <c r="C66" s="3">
        <v>45089</v>
      </c>
      <c r="D66" s="2">
        <v>70000</v>
      </c>
      <c r="E66">
        <f t="shared" si="22"/>
        <v>4</v>
      </c>
      <c r="F66">
        <f t="shared" si="23"/>
        <v>2</v>
      </c>
      <c r="G66" t="str">
        <f t="shared" si="24"/>
        <v>Kax_ehta</v>
      </c>
      <c r="H66" t="str">
        <f t="shared" si="25"/>
        <v>Kxrxn Mehtx</v>
      </c>
      <c r="I66" t="str">
        <f t="shared" si="26"/>
        <v>Kar---n Mehta</v>
      </c>
    </row>
    <row r="67" spans="1:10" ht="18.75" x14ac:dyDescent="0.3">
      <c r="A67" s="2" t="s">
        <v>30</v>
      </c>
      <c r="B67" s="2" t="s">
        <v>20</v>
      </c>
      <c r="C67" s="3">
        <v>44316</v>
      </c>
      <c r="D67" s="2">
        <v>53000</v>
      </c>
      <c r="E67">
        <f t="shared" ref="E59:E71" si="27">FIND("a", A67,F67+1)</f>
        <v>7</v>
      </c>
      <c r="F67">
        <f t="shared" si="23"/>
        <v>4</v>
      </c>
      <c r="G67" t="str">
        <f t="shared" si="24"/>
        <v>Rix_poor</v>
      </c>
      <c r="H67" t="str">
        <f t="shared" si="25"/>
        <v>Riyx Kxpoor</v>
      </c>
      <c r="I67" t="str">
        <f t="shared" si="26"/>
        <v>Riya K---poor</v>
      </c>
    </row>
    <row r="68" spans="1:10" ht="18.75" x14ac:dyDescent="0.3">
      <c r="A68" s="2" t="s">
        <v>32</v>
      </c>
      <c r="B68" s="2" t="s">
        <v>8</v>
      </c>
      <c r="C68" s="3">
        <v>44700</v>
      </c>
      <c r="D68" s="2">
        <v>59000</v>
      </c>
      <c r="E68" t="e">
        <f t="shared" si="27"/>
        <v>#VALUE!</v>
      </c>
      <c r="F68" t="e">
        <f>FIND("a", A68)</f>
        <v>#VALUE!</v>
      </c>
      <c r="G68" t="str">
        <f t="shared" si="24"/>
        <v>Arx_ose</v>
      </c>
      <c r="H68" t="str">
        <f t="shared" si="25"/>
        <v>Arjun Bose</v>
      </c>
      <c r="I68" t="str">
        <f t="shared" si="26"/>
        <v>Arjun Bose</v>
      </c>
    </row>
    <row r="69" spans="1:10" ht="18.75" x14ac:dyDescent="0.3">
      <c r="A69" s="2" t="s">
        <v>34</v>
      </c>
      <c r="B69" s="2" t="s">
        <v>11</v>
      </c>
      <c r="C69" s="3">
        <v>45173</v>
      </c>
      <c r="D69" s="2">
        <v>81000</v>
      </c>
      <c r="E69">
        <f t="shared" si="27"/>
        <v>8</v>
      </c>
      <c r="F69">
        <f t="shared" si="23"/>
        <v>2</v>
      </c>
      <c r="G69" t="str">
        <f t="shared" si="24"/>
        <v>Tax_ao</v>
      </c>
      <c r="H69" t="str">
        <f t="shared" si="25"/>
        <v>Txnvi Rxo</v>
      </c>
      <c r="I69" t="str">
        <f t="shared" si="26"/>
        <v>Tanvi R---o</v>
      </c>
    </row>
    <row r="70" spans="1:10" ht="18.75" x14ac:dyDescent="0.3">
      <c r="A70" s="2" t="s">
        <v>36</v>
      </c>
      <c r="B70" s="2" t="s">
        <v>14</v>
      </c>
      <c r="C70" s="3">
        <v>43889</v>
      </c>
      <c r="D70" s="2">
        <v>62000</v>
      </c>
      <c r="E70">
        <f t="shared" si="27"/>
        <v>11</v>
      </c>
      <c r="F70">
        <f t="shared" si="23"/>
        <v>2</v>
      </c>
      <c r="G70" t="str">
        <f t="shared" si="24"/>
        <v>Rax_ehta</v>
      </c>
      <c r="H70" t="str">
        <f t="shared" si="25"/>
        <v>Rxhul Mehtx</v>
      </c>
      <c r="I70" t="str">
        <f t="shared" si="26"/>
        <v>Rahul Meht---</v>
      </c>
    </row>
    <row r="71" spans="1:10" ht="18.75" x14ac:dyDescent="0.3">
      <c r="A71" s="2" t="s">
        <v>38</v>
      </c>
      <c r="B71" s="2" t="s">
        <v>17</v>
      </c>
      <c r="C71" s="3">
        <v>45247</v>
      </c>
      <c r="D71" s="2">
        <v>64000</v>
      </c>
      <c r="E71">
        <f t="shared" si="27"/>
        <v>4</v>
      </c>
      <c r="F71">
        <f t="shared" si="23"/>
        <v>2</v>
      </c>
      <c r="G71" t="str">
        <f t="shared" si="24"/>
        <v>Sax_an</v>
      </c>
      <c r="H71" t="str">
        <f t="shared" si="25"/>
        <v>Sxnx Khxn</v>
      </c>
      <c r="I71" t="str">
        <f t="shared" si="26"/>
        <v>San--- Khan</v>
      </c>
    </row>
    <row r="75" spans="1:10" ht="21" x14ac:dyDescent="0.35">
      <c r="A75" s="1" t="s">
        <v>1</v>
      </c>
      <c r="B75" s="1" t="s">
        <v>2</v>
      </c>
      <c r="C75" s="1" t="s">
        <v>3</v>
      </c>
      <c r="D75" s="1" t="s">
        <v>4</v>
      </c>
      <c r="F75" s="4" t="s">
        <v>85</v>
      </c>
      <c r="G75" s="4" t="s">
        <v>88</v>
      </c>
      <c r="H75" s="4" t="s">
        <v>89</v>
      </c>
      <c r="I75" s="4" t="s">
        <v>90</v>
      </c>
      <c r="J75" s="4" t="s">
        <v>91</v>
      </c>
    </row>
    <row r="76" spans="1:10" ht="18.75" x14ac:dyDescent="0.3">
      <c r="A76" s="2" t="s">
        <v>77</v>
      </c>
      <c r="B76" s="2" t="s">
        <v>8</v>
      </c>
      <c r="C76" s="3">
        <v>44635</v>
      </c>
      <c r="D76" s="2">
        <v>52000</v>
      </c>
      <c r="E76">
        <f>FIND("sha", LOWER(A76))</f>
        <v>9</v>
      </c>
      <c r="F76" t="str">
        <f>LEFT(A76, 3)</f>
        <v xml:space="preserve">  A</v>
      </c>
      <c r="G76" t="str">
        <f>RIGHT(A76, 3)</f>
        <v>rma</v>
      </c>
      <c r="H76" t="str">
        <f>MID(A76, 3, 4)</f>
        <v>Aara</v>
      </c>
      <c r="I76" t="b">
        <f>EXACT(B76, "Sales")</f>
        <v>1</v>
      </c>
      <c r="J76" t="str">
        <f>REPT(B76, 5)</f>
        <v>SalesSalesSalesSalesSales</v>
      </c>
    </row>
    <row r="77" spans="1:10" ht="18.75" x14ac:dyDescent="0.3">
      <c r="A77" s="2" t="s">
        <v>78</v>
      </c>
      <c r="B77" s="2" t="s">
        <v>11</v>
      </c>
      <c r="C77" s="3">
        <v>44522</v>
      </c>
      <c r="D77" s="2">
        <v>68000</v>
      </c>
      <c r="F77" t="str">
        <f t="shared" ref="F77:F89" si="28">LEFT(A77, 3)</f>
        <v>Pri</v>
      </c>
      <c r="G77" t="str">
        <f>RIGHT(A77, 3)</f>
        <v xml:space="preserve">h  </v>
      </c>
      <c r="H77" t="str">
        <f>MID(A77, 3, 4)</f>
        <v xml:space="preserve">iya </v>
      </c>
      <c r="I77" t="b">
        <f t="shared" ref="I77:I89" si="29">EXACT(B77, "Sales")</f>
        <v>0</v>
      </c>
    </row>
    <row r="78" spans="1:10" ht="18.75" x14ac:dyDescent="0.3">
      <c r="A78" s="2" t="s">
        <v>79</v>
      </c>
      <c r="B78" s="2" t="s">
        <v>14</v>
      </c>
      <c r="C78" s="3">
        <v>44936</v>
      </c>
      <c r="D78" s="2">
        <v>45000</v>
      </c>
      <c r="F78" t="str">
        <f t="shared" si="28"/>
        <v>Roh</v>
      </c>
      <c r="G78" t="str">
        <f t="shared" ref="G77:G89" si="30">RIGHT(A78, 3)</f>
        <v>tel</v>
      </c>
      <c r="H78" t="str">
        <f t="shared" ref="H77:H89" si="31">MID(A78, 3, 4)</f>
        <v xml:space="preserve">han </v>
      </c>
      <c r="I78" t="b">
        <f t="shared" si="29"/>
        <v>0</v>
      </c>
    </row>
    <row r="79" spans="1:10" ht="18.75" x14ac:dyDescent="0.3">
      <c r="A79" s="2" t="s">
        <v>80</v>
      </c>
      <c r="B79" s="2" t="s">
        <v>17</v>
      </c>
      <c r="C79" s="3">
        <v>44030</v>
      </c>
      <c r="D79" s="2">
        <v>72000</v>
      </c>
      <c r="F79" t="str">
        <f t="shared" si="28"/>
        <v>Ana</v>
      </c>
      <c r="G79" t="str">
        <f t="shared" si="30"/>
        <v>rma</v>
      </c>
      <c r="H79" t="str">
        <f t="shared" si="31"/>
        <v>anya</v>
      </c>
      <c r="I79" t="b">
        <f t="shared" si="29"/>
        <v>0</v>
      </c>
    </row>
    <row r="80" spans="1:10" ht="18.75" x14ac:dyDescent="0.3">
      <c r="A80" s="2" t="s">
        <v>19</v>
      </c>
      <c r="B80" s="2" t="s">
        <v>20</v>
      </c>
      <c r="C80" s="3">
        <v>44896</v>
      </c>
      <c r="D80" s="2">
        <v>61000</v>
      </c>
      <c r="F80" t="str">
        <f t="shared" si="28"/>
        <v>Vik</v>
      </c>
      <c r="G80" t="str">
        <f t="shared" si="30"/>
        <v>ddy</v>
      </c>
      <c r="H80" t="str">
        <f t="shared" si="31"/>
        <v>kram</v>
      </c>
      <c r="I80" t="b">
        <f t="shared" si="29"/>
        <v>0</v>
      </c>
    </row>
    <row r="81" spans="1:9" ht="18.75" x14ac:dyDescent="0.3">
      <c r="A81" s="2" t="s">
        <v>22</v>
      </c>
      <c r="B81" s="2" t="s">
        <v>14</v>
      </c>
      <c r="C81" s="3">
        <v>45005</v>
      </c>
      <c r="D81" s="2">
        <v>48000</v>
      </c>
      <c r="F81" t="str">
        <f t="shared" si="28"/>
        <v>Neh</v>
      </c>
      <c r="G81" t="str">
        <f t="shared" si="30"/>
        <v>pta</v>
      </c>
      <c r="H81" t="str">
        <f t="shared" si="31"/>
        <v>ha G</v>
      </c>
      <c r="I81" t="b">
        <f t="shared" si="29"/>
        <v>0</v>
      </c>
    </row>
    <row r="82" spans="1:9" ht="18.75" x14ac:dyDescent="0.3">
      <c r="A82" s="2" t="s">
        <v>24</v>
      </c>
      <c r="B82" s="2" t="s">
        <v>11</v>
      </c>
      <c r="C82" s="3">
        <v>44129</v>
      </c>
      <c r="D82" s="2">
        <v>77000</v>
      </c>
      <c r="F82" t="str">
        <f t="shared" si="28"/>
        <v>Sid</v>
      </c>
      <c r="G82" t="str">
        <f t="shared" si="30"/>
        <v>ain</v>
      </c>
      <c r="H82" t="str">
        <f t="shared" si="31"/>
        <v>ddha</v>
      </c>
      <c r="I82" t="b">
        <f t="shared" si="29"/>
        <v>0</v>
      </c>
    </row>
    <row r="83" spans="1:9" ht="18.75" x14ac:dyDescent="0.3">
      <c r="A83" s="2" t="s">
        <v>26</v>
      </c>
      <c r="B83" s="2" t="s">
        <v>8</v>
      </c>
      <c r="C83" s="3">
        <v>43691</v>
      </c>
      <c r="D83" s="2">
        <v>55000</v>
      </c>
      <c r="F83" t="str">
        <f t="shared" si="28"/>
        <v>Ish</v>
      </c>
      <c r="G83" t="str">
        <f t="shared" si="30"/>
        <v>tra</v>
      </c>
      <c r="H83" t="str">
        <f t="shared" si="31"/>
        <v>ha M</v>
      </c>
      <c r="I83" t="b">
        <f t="shared" si="29"/>
        <v>1</v>
      </c>
    </row>
    <row r="84" spans="1:9" ht="18.75" x14ac:dyDescent="0.3">
      <c r="A84" s="2" t="s">
        <v>28</v>
      </c>
      <c r="B84" s="2" t="s">
        <v>17</v>
      </c>
      <c r="C84" s="3">
        <v>45089</v>
      </c>
      <c r="D84" s="2">
        <v>70000</v>
      </c>
      <c r="F84" t="str">
        <f t="shared" si="28"/>
        <v>Kar</v>
      </c>
      <c r="G84" t="str">
        <f t="shared" si="30"/>
        <v>hta</v>
      </c>
      <c r="H84" t="str">
        <f t="shared" si="31"/>
        <v xml:space="preserve">ran </v>
      </c>
      <c r="I84" t="b">
        <f t="shared" si="29"/>
        <v>0</v>
      </c>
    </row>
    <row r="85" spans="1:9" ht="18.75" x14ac:dyDescent="0.3">
      <c r="A85" s="2" t="s">
        <v>30</v>
      </c>
      <c r="B85" s="2" t="s">
        <v>20</v>
      </c>
      <c r="C85" s="3">
        <v>44316</v>
      </c>
      <c r="D85" s="2">
        <v>53000</v>
      </c>
      <c r="F85" t="str">
        <f t="shared" si="28"/>
        <v>Riy</v>
      </c>
      <c r="G85" t="str">
        <f t="shared" si="30"/>
        <v>oor</v>
      </c>
      <c r="H85" t="str">
        <f t="shared" si="31"/>
        <v>ya K</v>
      </c>
      <c r="I85" t="b">
        <f t="shared" si="29"/>
        <v>0</v>
      </c>
    </row>
    <row r="86" spans="1:9" ht="18.75" x14ac:dyDescent="0.3">
      <c r="A86" s="2" t="s">
        <v>32</v>
      </c>
      <c r="B86" s="2" t="s">
        <v>8</v>
      </c>
      <c r="C86" s="3">
        <v>44700</v>
      </c>
      <c r="D86" s="2">
        <v>59000</v>
      </c>
      <c r="F86" t="str">
        <f t="shared" si="28"/>
        <v>Arj</v>
      </c>
      <c r="G86" t="str">
        <f t="shared" si="30"/>
        <v>ose</v>
      </c>
      <c r="H86" t="str">
        <f t="shared" si="31"/>
        <v xml:space="preserve">jun </v>
      </c>
      <c r="I86" t="b">
        <f t="shared" si="29"/>
        <v>1</v>
      </c>
    </row>
    <row r="87" spans="1:9" ht="18.75" x14ac:dyDescent="0.3">
      <c r="A87" s="2" t="s">
        <v>34</v>
      </c>
      <c r="B87" s="2" t="s">
        <v>11</v>
      </c>
      <c r="C87" s="3">
        <v>45173</v>
      </c>
      <c r="D87" s="2">
        <v>81000</v>
      </c>
      <c r="F87" t="str">
        <f t="shared" si="28"/>
        <v>Tan</v>
      </c>
      <c r="G87" t="str">
        <f t="shared" si="30"/>
        <v>Rao</v>
      </c>
      <c r="H87" t="str">
        <f t="shared" si="31"/>
        <v xml:space="preserve">nvi </v>
      </c>
      <c r="I87" t="b">
        <f t="shared" si="29"/>
        <v>0</v>
      </c>
    </row>
    <row r="88" spans="1:9" ht="18.75" x14ac:dyDescent="0.3">
      <c r="A88" s="2" t="s">
        <v>36</v>
      </c>
      <c r="B88" s="2" t="s">
        <v>14</v>
      </c>
      <c r="C88" s="3">
        <v>43889</v>
      </c>
      <c r="D88" s="2">
        <v>62000</v>
      </c>
      <c r="F88" t="str">
        <f t="shared" si="28"/>
        <v>Rah</v>
      </c>
      <c r="G88" t="str">
        <f t="shared" si="30"/>
        <v>hta</v>
      </c>
      <c r="H88" t="str">
        <f t="shared" si="31"/>
        <v xml:space="preserve">hul </v>
      </c>
      <c r="I88" t="b">
        <f t="shared" si="29"/>
        <v>0</v>
      </c>
    </row>
    <row r="89" spans="1:9" ht="18.75" x14ac:dyDescent="0.3">
      <c r="A89" s="2" t="s">
        <v>38</v>
      </c>
      <c r="B89" s="2" t="s">
        <v>17</v>
      </c>
      <c r="C89" s="3">
        <v>45247</v>
      </c>
      <c r="D89" s="2">
        <v>64000</v>
      </c>
      <c r="F89" t="str">
        <f t="shared" si="28"/>
        <v>San</v>
      </c>
      <c r="G89" t="str">
        <f t="shared" si="30"/>
        <v>han</v>
      </c>
      <c r="H89" t="str">
        <f t="shared" si="31"/>
        <v>na K</v>
      </c>
      <c r="I89" t="b">
        <f t="shared" si="2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2026-01-15T02:54:49Z</dcterms:created>
  <dcterms:modified xsi:type="dcterms:W3CDTF">2026-01-15T04:31:30Z</dcterms:modified>
</cp:coreProperties>
</file>