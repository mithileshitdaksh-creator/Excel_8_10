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_4\Desktop\Excel 8 to 10\"/>
    </mc:Choice>
  </mc:AlternateContent>
  <xr:revisionPtr revIDLastSave="0" documentId="13_ncr:1_{11D05FD1-54F3-43DB-AA5D-3319BC5A37F9}" xr6:coauthVersionLast="47" xr6:coauthVersionMax="47" xr10:uidLastSave="{00000000-0000-0000-0000-000000000000}"/>
  <bookViews>
    <workbookView xWindow="0" yWindow="0" windowWidth="10245" windowHeight="10920" xr2:uid="{AB180442-A0B9-4274-BF97-563D905839B6}"/>
  </bookViews>
  <sheets>
    <sheet name="Main 1" sheetId="1" r:id="rId1"/>
    <sheet name="Question" sheetId="2" r:id="rId2"/>
    <sheet name="For Error" sheetId="3" r:id="rId3"/>
  </sheets>
  <definedNames>
    <definedName name="_xlnm._FilterDatabase" localSheetId="0" hidden="1">'Main 1'!$K$5:$K$10</definedName>
    <definedName name="sales">'Main 1'!$H$2:$H$50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2" i="3"/>
  <c r="L23" i="1"/>
  <c r="M17" i="1"/>
  <c r="H52" i="2"/>
  <c r="K17" i="1"/>
  <c r="K13" i="1"/>
  <c r="K8" i="1"/>
  <c r="M3" i="1"/>
  <c r="K3" i="1"/>
  <c r="H52" i="1"/>
</calcChain>
</file>

<file path=xl/sharedStrings.xml><?xml version="1.0" encoding="utf-8"?>
<sst xmlns="http://schemas.openxmlformats.org/spreadsheetml/2006/main" count="545" uniqueCount="55">
  <si>
    <t>Date</t>
  </si>
  <si>
    <t>Product</t>
  </si>
  <si>
    <t>Product Type</t>
  </si>
  <si>
    <t>State</t>
  </si>
  <si>
    <t>Territory</t>
  </si>
  <si>
    <t>Type</t>
  </si>
  <si>
    <t>Profit</t>
  </si>
  <si>
    <t>Sales</t>
  </si>
  <si>
    <t>Total Expenses</t>
  </si>
  <si>
    <t>Decaf Irish Cream</t>
  </si>
  <si>
    <t>Coffee</t>
  </si>
  <si>
    <t>Colorado</t>
  </si>
  <si>
    <t>Central</t>
  </si>
  <si>
    <t>Decaf</t>
  </si>
  <si>
    <t>Illinois</t>
  </si>
  <si>
    <t>Ohio</t>
  </si>
  <si>
    <t>Decaf Espresso</t>
  </si>
  <si>
    <t>Espresso</t>
  </si>
  <si>
    <t>Chamomile</t>
  </si>
  <si>
    <t>Herbal Tea</t>
  </si>
  <si>
    <t>Lemon</t>
  </si>
  <si>
    <t>Mint</t>
  </si>
  <si>
    <t>Florida</t>
  </si>
  <si>
    <t>East</t>
  </si>
  <si>
    <t>Massachusetts</t>
  </si>
  <si>
    <t>New York</t>
  </si>
  <si>
    <t>Texas</t>
  </si>
  <si>
    <t>South</t>
  </si>
  <si>
    <t>California</t>
  </si>
  <si>
    <t>West</t>
  </si>
  <si>
    <t>Amaretto</t>
  </si>
  <si>
    <t>Regular</t>
  </si>
  <si>
    <t>Columbian</t>
  </si>
  <si>
    <t>Caffe Mocha</t>
  </si>
  <si>
    <t>Darjeeling</t>
  </si>
  <si>
    <t>Tea</t>
  </si>
  <si>
    <t>Earl Grey</t>
  </si>
  <si>
    <t>Green Tea</t>
  </si>
  <si>
    <t>Total Coffee Sales</t>
  </si>
  <si>
    <t>Total sale of coffee in Ohion</t>
  </si>
  <si>
    <t>Max Sales of Coffee</t>
  </si>
  <si>
    <t>min Sales of Coffee</t>
  </si>
  <si>
    <t>Max Sales of Coffee in Central</t>
  </si>
  <si>
    <t>Min Sales of Coffee in Central</t>
  </si>
  <si>
    <t>Count of Coffee</t>
  </si>
  <si>
    <t>Count of Coffee with profit &gt; 50</t>
  </si>
  <si>
    <t>Product Name</t>
  </si>
  <si>
    <t>total Sales</t>
  </si>
  <si>
    <t>Total Sales</t>
  </si>
  <si>
    <t>Max Sales</t>
  </si>
  <si>
    <t>Min Sales</t>
  </si>
  <si>
    <t>Count of Sales</t>
  </si>
  <si>
    <t>Average Sales</t>
  </si>
  <si>
    <t>Number</t>
  </si>
  <si>
    <t>divide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</si>
</sst>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1" xfId="0" applyNumberFormat="1" applyFont="1" applyBorder="1"/>
    <xf numFmtId="0" fontId="1" fillId="0" borderId="1" xfId="0" applyFont="1" applyBorder="1"/>
    <xf numFmtId="0" fontId="3" fillId="2" borderId="1" xfId="0" applyFont="1" applyFill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2103-C61F-43AE-B232-2DBE31AA90B1}">
  <dimension ref="A1:M52"/>
  <sheetViews>
    <sheetView tabSelected="1" zoomScale="55" zoomScaleNormal="55" workbookViewId="0">
      <selection activeCell="H33" sqref="H33"/>
    </sheetView>
  </sheetViews>
  <sheetFormatPr defaultRowHeight="15" x14ac:dyDescent="0.25"/>
  <cols>
    <col min="1" max="1" width="11.5703125" bestFit="1" customWidth="1"/>
    <col min="2" max="2" width="17.85546875" bestFit="1" customWidth="1"/>
    <col min="3" max="3" width="19.140625" bestFit="1" customWidth="1"/>
    <col min="4" max="4" width="14.42578125" bestFit="1" customWidth="1"/>
    <col min="5" max="5" width="12.28515625" bestFit="1" customWidth="1"/>
    <col min="6" max="6" width="7.7109375" bestFit="1" customWidth="1"/>
    <col min="7" max="7" width="8.7109375" bestFit="1" customWidth="1"/>
    <col min="8" max="8" width="9" bestFit="1" customWidth="1"/>
    <col min="9" max="9" width="22.28515625" bestFit="1" customWidth="1"/>
    <col min="11" max="11" width="28.7109375" bestFit="1" customWidth="1"/>
    <col min="12" max="12" width="10.7109375" bestFit="1" customWidth="1"/>
    <col min="13" max="13" width="39.85546875" bestFit="1" customWidth="1"/>
  </cols>
  <sheetData>
    <row r="1" spans="1:13" ht="24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3" ht="24" x14ac:dyDescent="0.4">
      <c r="A2" s="1">
        <v>38717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101</v>
      </c>
      <c r="H2" s="2">
        <v>234</v>
      </c>
      <c r="I2" s="2">
        <v>38</v>
      </c>
      <c r="K2" s="3" t="s">
        <v>38</v>
      </c>
      <c r="M2" s="3" t="s">
        <v>39</v>
      </c>
    </row>
    <row r="3" spans="1:13" ht="15.75" x14ac:dyDescent="0.25">
      <c r="A3" s="1">
        <v>38717</v>
      </c>
      <c r="B3" s="2" t="s">
        <v>9</v>
      </c>
      <c r="C3" s="2" t="s">
        <v>10</v>
      </c>
      <c r="D3" s="2" t="s">
        <v>14</v>
      </c>
      <c r="E3" s="2" t="s">
        <v>12</v>
      </c>
      <c r="F3" s="2" t="s">
        <v>13</v>
      </c>
      <c r="G3" s="2">
        <v>87</v>
      </c>
      <c r="H3" s="2">
        <v>234</v>
      </c>
      <c r="I3" s="2">
        <v>52</v>
      </c>
      <c r="K3" s="5">
        <f>SUMIFS(H2:H50,C2:C50,"Coffee")</f>
        <v>3542</v>
      </c>
      <c r="L3" s="6"/>
      <c r="M3" s="5">
        <f>SUMIFS(H2:H50,C2:C50,"Coffee", D2:D50, "Ohio")</f>
        <v>430</v>
      </c>
    </row>
    <row r="4" spans="1:13" ht="15.75" x14ac:dyDescent="0.25">
      <c r="A4" s="1">
        <v>38717</v>
      </c>
      <c r="B4" s="2" t="s">
        <v>9</v>
      </c>
      <c r="C4" s="2" t="s">
        <v>10</v>
      </c>
      <c r="D4" s="2" t="s">
        <v>15</v>
      </c>
      <c r="E4" s="2" t="s">
        <v>12</v>
      </c>
      <c r="F4" s="2" t="s">
        <v>13</v>
      </c>
      <c r="G4" s="2">
        <v>0</v>
      </c>
      <c r="H4" s="2">
        <v>150</v>
      </c>
      <c r="I4" s="2">
        <v>87</v>
      </c>
    </row>
    <row r="5" spans="1:13" ht="15.75" x14ac:dyDescent="0.25">
      <c r="A5" s="1">
        <v>38717</v>
      </c>
      <c r="B5" s="2" t="s">
        <v>16</v>
      </c>
      <c r="C5" s="2" t="s">
        <v>17</v>
      </c>
      <c r="D5" s="2" t="s">
        <v>11</v>
      </c>
      <c r="E5" s="2" t="s">
        <v>12</v>
      </c>
      <c r="F5" s="2" t="s">
        <v>13</v>
      </c>
      <c r="G5" s="2">
        <v>53</v>
      </c>
      <c r="H5" s="2">
        <v>180</v>
      </c>
      <c r="I5" s="2">
        <v>55</v>
      </c>
    </row>
    <row r="6" spans="1:13" ht="15.75" x14ac:dyDescent="0.25">
      <c r="A6" s="1">
        <v>46035</v>
      </c>
      <c r="B6" s="2" t="s">
        <v>16</v>
      </c>
      <c r="C6" s="2" t="s">
        <v>17</v>
      </c>
      <c r="D6" s="2" t="s">
        <v>14</v>
      </c>
      <c r="E6" s="2" t="s">
        <v>12</v>
      </c>
      <c r="F6" s="2" t="s">
        <v>13</v>
      </c>
      <c r="G6" s="2">
        <v>140</v>
      </c>
      <c r="H6" s="2">
        <v>456</v>
      </c>
      <c r="I6" s="2">
        <v>88</v>
      </c>
    </row>
    <row r="7" spans="1:13" ht="24" x14ac:dyDescent="0.4">
      <c r="A7" s="1">
        <v>38717</v>
      </c>
      <c r="B7" s="2" t="s">
        <v>16</v>
      </c>
      <c r="C7" s="2" t="s">
        <v>17</v>
      </c>
      <c r="D7" s="2" t="s">
        <v>15</v>
      </c>
      <c r="E7" s="2" t="s">
        <v>12</v>
      </c>
      <c r="F7" s="2" t="s">
        <v>13</v>
      </c>
      <c r="G7" s="2">
        <v>16</v>
      </c>
      <c r="H7" s="2">
        <v>130</v>
      </c>
      <c r="I7" s="2">
        <v>56</v>
      </c>
      <c r="K7" s="3" t="s">
        <v>40</v>
      </c>
      <c r="M7" s="3" t="s">
        <v>41</v>
      </c>
    </row>
    <row r="8" spans="1:13" ht="15.75" x14ac:dyDescent="0.25">
      <c r="A8" s="1">
        <v>46082</v>
      </c>
      <c r="B8" s="2" t="s">
        <v>18</v>
      </c>
      <c r="C8" s="2" t="s">
        <v>19</v>
      </c>
      <c r="D8" s="2" t="s">
        <v>11</v>
      </c>
      <c r="E8" s="2" t="s">
        <v>12</v>
      </c>
      <c r="F8" s="2" t="s">
        <v>13</v>
      </c>
      <c r="G8" s="2">
        <v>99</v>
      </c>
      <c r="H8" s="2">
        <v>341</v>
      </c>
      <c r="I8" s="2">
        <v>72</v>
      </c>
      <c r="K8" s="5">
        <f>_xlfn.MAXIFS(H2:H50,C2:C50, "Coffee")</f>
        <v>678</v>
      </c>
      <c r="M8" s="5"/>
    </row>
    <row r="9" spans="1:13" ht="15.75" x14ac:dyDescent="0.25">
      <c r="A9" s="1">
        <v>46059</v>
      </c>
      <c r="B9" s="2" t="s">
        <v>18</v>
      </c>
      <c r="C9" s="2" t="s">
        <v>19</v>
      </c>
      <c r="D9" s="2" t="s">
        <v>14</v>
      </c>
      <c r="E9" s="2" t="s">
        <v>12</v>
      </c>
      <c r="F9" s="2" t="s">
        <v>13</v>
      </c>
      <c r="G9" s="2">
        <v>95</v>
      </c>
      <c r="H9" s="2">
        <v>219</v>
      </c>
      <c r="I9" s="2">
        <v>35</v>
      </c>
    </row>
    <row r="10" spans="1:13" ht="15.75" x14ac:dyDescent="0.25">
      <c r="A10" s="1">
        <v>46043</v>
      </c>
      <c r="B10" s="2" t="s">
        <v>18</v>
      </c>
      <c r="C10" s="2" t="s">
        <v>19</v>
      </c>
      <c r="D10" s="2" t="s">
        <v>15</v>
      </c>
      <c r="E10" s="2" t="s">
        <v>12</v>
      </c>
      <c r="F10" s="2" t="s">
        <v>13</v>
      </c>
      <c r="G10" s="2">
        <v>29</v>
      </c>
      <c r="H10" s="2">
        <v>80</v>
      </c>
      <c r="I10" s="2">
        <v>19</v>
      </c>
      <c r="K10" s="4"/>
    </row>
    <row r="11" spans="1:13" ht="15.75" x14ac:dyDescent="0.25">
      <c r="A11" s="1">
        <v>46092</v>
      </c>
      <c r="B11" s="2" t="s">
        <v>20</v>
      </c>
      <c r="C11" s="2" t="s">
        <v>19</v>
      </c>
      <c r="D11" s="2" t="s">
        <v>11</v>
      </c>
      <c r="E11" s="2" t="s">
        <v>12</v>
      </c>
      <c r="F11" s="2" t="s">
        <v>13</v>
      </c>
      <c r="G11" s="2">
        <v>0</v>
      </c>
      <c r="H11" s="2">
        <v>150</v>
      </c>
      <c r="I11" s="2">
        <v>87</v>
      </c>
    </row>
    <row r="12" spans="1:13" ht="15.75" x14ac:dyDescent="0.25">
      <c r="A12" s="1">
        <v>46062</v>
      </c>
      <c r="B12" s="2" t="s">
        <v>20</v>
      </c>
      <c r="C12" s="2" t="s">
        <v>19</v>
      </c>
      <c r="D12" s="2" t="s">
        <v>14</v>
      </c>
      <c r="E12" s="2" t="s">
        <v>12</v>
      </c>
      <c r="F12" s="2" t="s">
        <v>13</v>
      </c>
      <c r="G12" s="2">
        <v>68</v>
      </c>
      <c r="H12" s="2">
        <v>190</v>
      </c>
      <c r="I12" s="2">
        <v>39</v>
      </c>
      <c r="K12" s="7" t="s">
        <v>42</v>
      </c>
      <c r="M12" s="7" t="s">
        <v>43</v>
      </c>
    </row>
    <row r="13" spans="1:13" ht="15.75" x14ac:dyDescent="0.25">
      <c r="A13" s="1">
        <v>46043</v>
      </c>
      <c r="B13" s="2" t="s">
        <v>20</v>
      </c>
      <c r="C13" s="2" t="s">
        <v>19</v>
      </c>
      <c r="D13" s="2" t="s">
        <v>15</v>
      </c>
      <c r="E13" s="2" t="s">
        <v>12</v>
      </c>
      <c r="F13" s="2" t="s">
        <v>13</v>
      </c>
      <c r="G13" s="2">
        <v>29</v>
      </c>
      <c r="H13" s="2">
        <v>80</v>
      </c>
      <c r="I13" s="2">
        <v>19</v>
      </c>
      <c r="K13" s="5">
        <f>_xlfn.MAXIFS(sales, C2:C50, "Coffee", E2:E50, "Central")</f>
        <v>345</v>
      </c>
      <c r="M13" s="5"/>
    </row>
    <row r="14" spans="1:13" ht="15.75" x14ac:dyDescent="0.25">
      <c r="A14" s="1">
        <v>46054</v>
      </c>
      <c r="B14" s="2" t="s">
        <v>21</v>
      </c>
      <c r="C14" s="2" t="s">
        <v>19</v>
      </c>
      <c r="D14" s="2" t="s">
        <v>11</v>
      </c>
      <c r="E14" s="2" t="s">
        <v>12</v>
      </c>
      <c r="F14" s="2" t="s">
        <v>13</v>
      </c>
      <c r="G14" s="2">
        <v>33</v>
      </c>
      <c r="H14" s="2">
        <v>140</v>
      </c>
      <c r="I14" s="2">
        <v>47</v>
      </c>
    </row>
    <row r="15" spans="1:13" ht="15.75" x14ac:dyDescent="0.25">
      <c r="A15" s="1">
        <v>46061</v>
      </c>
      <c r="B15" s="2" t="s">
        <v>21</v>
      </c>
      <c r="C15" s="2" t="s">
        <v>19</v>
      </c>
      <c r="D15" s="2" t="s">
        <v>14</v>
      </c>
      <c r="E15" s="2" t="s">
        <v>12</v>
      </c>
      <c r="F15" s="2" t="s">
        <v>13</v>
      </c>
      <c r="G15" s="2">
        <v>101</v>
      </c>
      <c r="H15" s="2">
        <v>234</v>
      </c>
      <c r="I15" s="2">
        <v>38</v>
      </c>
    </row>
    <row r="16" spans="1:13" ht="18.75" x14ac:dyDescent="0.3">
      <c r="A16" s="1">
        <v>46061</v>
      </c>
      <c r="B16" s="2" t="s">
        <v>9</v>
      </c>
      <c r="C16" s="2" t="s">
        <v>10</v>
      </c>
      <c r="D16" s="2" t="s">
        <v>22</v>
      </c>
      <c r="E16" s="2" t="s">
        <v>23</v>
      </c>
      <c r="F16" s="2" t="s">
        <v>13</v>
      </c>
      <c r="G16" s="2">
        <v>67</v>
      </c>
      <c r="H16" s="2">
        <v>200</v>
      </c>
      <c r="I16" s="2">
        <v>49</v>
      </c>
      <c r="K16" s="8" t="s">
        <v>44</v>
      </c>
      <c r="M16" s="8" t="s">
        <v>45</v>
      </c>
    </row>
    <row r="17" spans="1:13" ht="15.75" x14ac:dyDescent="0.25">
      <c r="A17" s="1">
        <v>46060</v>
      </c>
      <c r="B17" s="2" t="s">
        <v>16</v>
      </c>
      <c r="C17" s="2" t="s">
        <v>17</v>
      </c>
      <c r="D17" s="2" t="s">
        <v>22</v>
      </c>
      <c r="E17" s="2" t="s">
        <v>23</v>
      </c>
      <c r="F17" s="2" t="s">
        <v>13</v>
      </c>
      <c r="G17" s="2">
        <v>50</v>
      </c>
      <c r="H17" s="2">
        <v>180</v>
      </c>
      <c r="I17" s="2">
        <v>53</v>
      </c>
      <c r="K17" s="5">
        <f>COUNTIFS(C2:C50, "Coffee")</f>
        <v>14</v>
      </c>
      <c r="M17" s="5">
        <f>COUNTIFS(C2:C50, "Coffee", G2:G50, "&gt;50")</f>
        <v>10</v>
      </c>
    </row>
    <row r="18" spans="1:13" ht="15.75" x14ac:dyDescent="0.25">
      <c r="A18" s="1">
        <v>46050</v>
      </c>
      <c r="B18" s="2" t="s">
        <v>18</v>
      </c>
      <c r="C18" s="2" t="s">
        <v>19</v>
      </c>
      <c r="D18" s="2" t="s">
        <v>22</v>
      </c>
      <c r="E18" s="2" t="s">
        <v>23</v>
      </c>
      <c r="F18" s="2" t="s">
        <v>13</v>
      </c>
      <c r="G18" s="2">
        <v>34</v>
      </c>
      <c r="H18" s="2">
        <v>110</v>
      </c>
      <c r="I18" s="2">
        <v>28</v>
      </c>
    </row>
    <row r="19" spans="1:13" ht="15.75" x14ac:dyDescent="0.25">
      <c r="A19" s="1">
        <v>46055</v>
      </c>
      <c r="B19" s="2" t="s">
        <v>20</v>
      </c>
      <c r="C19" s="2" t="s">
        <v>19</v>
      </c>
      <c r="D19" s="2" t="s">
        <v>22</v>
      </c>
      <c r="E19" s="2" t="s">
        <v>23</v>
      </c>
      <c r="F19" s="2" t="s">
        <v>13</v>
      </c>
      <c r="G19" s="2">
        <v>13</v>
      </c>
      <c r="H19" s="2">
        <v>120</v>
      </c>
      <c r="I19" s="2">
        <v>53</v>
      </c>
    </row>
    <row r="20" spans="1:13" ht="15.75" x14ac:dyDescent="0.25">
      <c r="A20" s="1">
        <v>46057</v>
      </c>
      <c r="B20" s="2" t="s">
        <v>20</v>
      </c>
      <c r="C20" s="2" t="s">
        <v>19</v>
      </c>
      <c r="D20" s="2" t="s">
        <v>24</v>
      </c>
      <c r="E20" s="2" t="s">
        <v>23</v>
      </c>
      <c r="F20" s="2" t="s">
        <v>13</v>
      </c>
      <c r="G20" s="2">
        <v>17</v>
      </c>
      <c r="H20" s="2">
        <v>130</v>
      </c>
      <c r="I20" s="2">
        <v>55</v>
      </c>
    </row>
    <row r="21" spans="1:13" ht="15.75" x14ac:dyDescent="0.25">
      <c r="A21" s="1">
        <v>46128</v>
      </c>
      <c r="B21" s="2" t="s">
        <v>20</v>
      </c>
      <c r="C21" s="2" t="s">
        <v>19</v>
      </c>
      <c r="D21" s="2" t="s">
        <v>25</v>
      </c>
      <c r="E21" s="2" t="s">
        <v>23</v>
      </c>
      <c r="F21" s="2" t="s">
        <v>13</v>
      </c>
      <c r="G21" s="2">
        <v>111</v>
      </c>
      <c r="H21" s="2">
        <v>483</v>
      </c>
      <c r="I21" s="2">
        <v>127</v>
      </c>
    </row>
    <row r="22" spans="1:13" ht="15.75" x14ac:dyDescent="0.25">
      <c r="A22" s="1">
        <v>46056</v>
      </c>
      <c r="B22" s="2" t="s">
        <v>21</v>
      </c>
      <c r="C22" s="2" t="s">
        <v>19</v>
      </c>
      <c r="D22" s="2" t="s">
        <v>22</v>
      </c>
      <c r="E22" s="2" t="s">
        <v>23</v>
      </c>
      <c r="F22" s="2" t="s">
        <v>13</v>
      </c>
      <c r="G22" s="2">
        <v>39</v>
      </c>
      <c r="H22" s="2">
        <v>150</v>
      </c>
      <c r="I22" s="2">
        <v>42</v>
      </c>
      <c r="K22" s="7" t="s">
        <v>46</v>
      </c>
      <c r="L22" s="7" t="s">
        <v>47</v>
      </c>
    </row>
    <row r="23" spans="1:13" ht="15.75" x14ac:dyDescent="0.25">
      <c r="A23" s="1">
        <v>46099</v>
      </c>
      <c r="B23" s="2" t="s">
        <v>21</v>
      </c>
      <c r="C23" s="2" t="s">
        <v>19</v>
      </c>
      <c r="D23" s="2" t="s">
        <v>25</v>
      </c>
      <c r="E23" s="2" t="s">
        <v>23</v>
      </c>
      <c r="F23" s="2" t="s">
        <v>13</v>
      </c>
      <c r="G23" s="2">
        <v>-113</v>
      </c>
      <c r="H23" s="2">
        <v>180</v>
      </c>
      <c r="I23" s="2">
        <v>86</v>
      </c>
      <c r="K23" s="5" t="s">
        <v>19</v>
      </c>
      <c r="L23" s="5">
        <f>SUMIFS(sales,C2:C50, K23)</f>
        <v>3763</v>
      </c>
    </row>
    <row r="24" spans="1:13" ht="15.75" x14ac:dyDescent="0.25">
      <c r="A24" s="1">
        <v>46062</v>
      </c>
      <c r="B24" s="2" t="s">
        <v>9</v>
      </c>
      <c r="C24" s="2" t="s">
        <v>10</v>
      </c>
      <c r="D24" s="2" t="s">
        <v>26</v>
      </c>
      <c r="E24" s="2" t="s">
        <v>27</v>
      </c>
      <c r="F24" s="2" t="s">
        <v>13</v>
      </c>
      <c r="G24" s="2">
        <v>68</v>
      </c>
      <c r="H24" s="2">
        <v>190</v>
      </c>
      <c r="I24" s="2">
        <v>39</v>
      </c>
    </row>
    <row r="25" spans="1:13" ht="15.75" x14ac:dyDescent="0.25">
      <c r="A25" s="1">
        <v>46050</v>
      </c>
      <c r="B25" s="2" t="s">
        <v>16</v>
      </c>
      <c r="C25" s="2" t="s">
        <v>17</v>
      </c>
      <c r="D25" s="2" t="s">
        <v>26</v>
      </c>
      <c r="E25" s="2" t="s">
        <v>27</v>
      </c>
      <c r="F25" s="2" t="s">
        <v>13</v>
      </c>
      <c r="G25" s="2">
        <v>54</v>
      </c>
      <c r="H25" s="2">
        <v>134</v>
      </c>
      <c r="I25" s="2">
        <v>26</v>
      </c>
    </row>
    <row r="26" spans="1:13" ht="15.75" x14ac:dyDescent="0.25">
      <c r="A26" s="1">
        <v>46054</v>
      </c>
      <c r="B26" s="2" t="s">
        <v>18</v>
      </c>
      <c r="C26" s="2" t="s">
        <v>19</v>
      </c>
      <c r="D26" s="2" t="s">
        <v>26</v>
      </c>
      <c r="E26" s="2" t="s">
        <v>27</v>
      </c>
      <c r="F26" s="2" t="s">
        <v>13</v>
      </c>
      <c r="G26" s="2">
        <v>33</v>
      </c>
      <c r="H26" s="2">
        <v>140</v>
      </c>
      <c r="I26" s="2">
        <v>47</v>
      </c>
    </row>
    <row r="27" spans="1:13" ht="24" x14ac:dyDescent="0.4">
      <c r="A27" s="1">
        <v>46053</v>
      </c>
      <c r="B27" s="2" t="s">
        <v>20</v>
      </c>
      <c r="C27" s="2" t="s">
        <v>19</v>
      </c>
      <c r="D27" s="2" t="s">
        <v>26</v>
      </c>
      <c r="E27" s="2" t="s">
        <v>27</v>
      </c>
      <c r="F27" s="2" t="s">
        <v>13</v>
      </c>
      <c r="G27" s="2">
        <v>42</v>
      </c>
      <c r="H27" s="2">
        <v>140</v>
      </c>
      <c r="I27" s="2">
        <v>41</v>
      </c>
      <c r="K27" s="3" t="s">
        <v>46</v>
      </c>
      <c r="L27" s="5"/>
    </row>
    <row r="28" spans="1:13" ht="24" x14ac:dyDescent="0.4">
      <c r="A28" s="1">
        <v>46082</v>
      </c>
      <c r="B28" s="2" t="s">
        <v>9</v>
      </c>
      <c r="C28" s="2" t="s">
        <v>10</v>
      </c>
      <c r="D28" s="2" t="s">
        <v>28</v>
      </c>
      <c r="E28" s="2" t="s">
        <v>29</v>
      </c>
      <c r="F28" s="2" t="s">
        <v>13</v>
      </c>
      <c r="G28" s="2">
        <v>-117</v>
      </c>
      <c r="H28" s="2">
        <v>118</v>
      </c>
      <c r="I28" s="2">
        <v>91</v>
      </c>
      <c r="K28" s="3" t="s">
        <v>48</v>
      </c>
      <c r="L28" s="5"/>
    </row>
    <row r="29" spans="1:13" ht="24" x14ac:dyDescent="0.4">
      <c r="A29" s="1">
        <v>46112</v>
      </c>
      <c r="B29" s="2" t="s">
        <v>16</v>
      </c>
      <c r="C29" s="2" t="s">
        <v>17</v>
      </c>
      <c r="D29" s="2" t="s">
        <v>28</v>
      </c>
      <c r="E29" s="2" t="s">
        <v>29</v>
      </c>
      <c r="F29" s="2" t="s">
        <v>13</v>
      </c>
      <c r="G29" s="2">
        <v>203</v>
      </c>
      <c r="H29" s="2">
        <v>546</v>
      </c>
      <c r="I29" s="2">
        <v>109</v>
      </c>
      <c r="K29" s="3" t="s">
        <v>49</v>
      </c>
      <c r="L29" s="5"/>
    </row>
    <row r="30" spans="1:13" ht="24" x14ac:dyDescent="0.4">
      <c r="A30" s="1">
        <v>46061</v>
      </c>
      <c r="B30" s="2" t="s">
        <v>18</v>
      </c>
      <c r="C30" s="2" t="s">
        <v>19</v>
      </c>
      <c r="D30" s="2" t="s">
        <v>28</v>
      </c>
      <c r="E30" s="2" t="s">
        <v>29</v>
      </c>
      <c r="F30" s="2" t="s">
        <v>13</v>
      </c>
      <c r="G30" s="2">
        <v>102</v>
      </c>
      <c r="H30" s="2">
        <v>234</v>
      </c>
      <c r="I30" s="2">
        <v>37</v>
      </c>
      <c r="K30" s="3" t="s">
        <v>50</v>
      </c>
      <c r="L30" s="5"/>
    </row>
    <row r="31" spans="1:13" ht="24" x14ac:dyDescent="0.4">
      <c r="A31" s="1">
        <v>46099</v>
      </c>
      <c r="B31" s="2" t="s">
        <v>20</v>
      </c>
      <c r="C31" s="2" t="s">
        <v>19</v>
      </c>
      <c r="D31" s="2" t="s">
        <v>28</v>
      </c>
      <c r="E31" s="2" t="s">
        <v>29</v>
      </c>
      <c r="F31" s="2" t="s">
        <v>13</v>
      </c>
      <c r="G31" s="2">
        <v>160</v>
      </c>
      <c r="H31" s="2">
        <v>452</v>
      </c>
      <c r="I31" s="2">
        <v>85</v>
      </c>
      <c r="K31" s="3" t="s">
        <v>51</v>
      </c>
      <c r="L31" s="5"/>
    </row>
    <row r="32" spans="1:13" ht="24" x14ac:dyDescent="0.4">
      <c r="A32" s="1">
        <v>46062</v>
      </c>
      <c r="B32" s="2" t="s">
        <v>21</v>
      </c>
      <c r="C32" s="2" t="s">
        <v>19</v>
      </c>
      <c r="D32" s="2" t="s">
        <v>28</v>
      </c>
      <c r="E32" s="2" t="s">
        <v>29</v>
      </c>
      <c r="F32" s="2" t="s">
        <v>13</v>
      </c>
      <c r="G32" s="2">
        <v>67</v>
      </c>
      <c r="H32" s="2">
        <v>190</v>
      </c>
      <c r="I32" s="2">
        <v>40</v>
      </c>
      <c r="K32" s="3" t="s">
        <v>52</v>
      </c>
      <c r="L32" s="5"/>
    </row>
    <row r="33" spans="1:9" ht="15.75" x14ac:dyDescent="0.25">
      <c r="A33" s="1">
        <v>46059</v>
      </c>
      <c r="B33" s="2" t="s">
        <v>30</v>
      </c>
      <c r="C33" s="2" t="s">
        <v>10</v>
      </c>
      <c r="D33" s="2" t="s">
        <v>11</v>
      </c>
      <c r="E33" s="2" t="s">
        <v>12</v>
      </c>
      <c r="F33" s="2" t="s">
        <v>31</v>
      </c>
      <c r="G33" s="2">
        <v>94</v>
      </c>
      <c r="H33" s="2">
        <v>219</v>
      </c>
      <c r="I33" s="2">
        <v>36</v>
      </c>
    </row>
    <row r="34" spans="1:9" ht="15.75" x14ac:dyDescent="0.25">
      <c r="A34" s="1">
        <v>46054</v>
      </c>
      <c r="B34" s="2" t="s">
        <v>30</v>
      </c>
      <c r="C34" s="2" t="s">
        <v>10</v>
      </c>
      <c r="D34" s="2" t="s">
        <v>15</v>
      </c>
      <c r="E34" s="2" t="s">
        <v>12</v>
      </c>
      <c r="F34" s="2" t="s">
        <v>31</v>
      </c>
      <c r="G34" s="2">
        <v>34</v>
      </c>
      <c r="H34" s="2">
        <v>140</v>
      </c>
      <c r="I34" s="2">
        <v>46</v>
      </c>
    </row>
    <row r="35" spans="1:9" ht="15.75" x14ac:dyDescent="0.25">
      <c r="A35" s="1">
        <v>46062</v>
      </c>
      <c r="B35" s="2" t="s">
        <v>32</v>
      </c>
      <c r="C35" s="2" t="s">
        <v>10</v>
      </c>
      <c r="D35" s="2" t="s">
        <v>11</v>
      </c>
      <c r="E35" s="2" t="s">
        <v>12</v>
      </c>
      <c r="F35" s="2" t="s">
        <v>31</v>
      </c>
      <c r="G35" s="2">
        <v>68</v>
      </c>
      <c r="H35" s="2">
        <v>190</v>
      </c>
      <c r="I35" s="2">
        <v>39</v>
      </c>
    </row>
    <row r="36" spans="1:9" ht="15.75" x14ac:dyDescent="0.25">
      <c r="A36" s="1">
        <v>46082</v>
      </c>
      <c r="B36" s="2" t="s">
        <v>32</v>
      </c>
      <c r="C36" s="2" t="s">
        <v>10</v>
      </c>
      <c r="D36" s="2" t="s">
        <v>14</v>
      </c>
      <c r="E36" s="2" t="s">
        <v>12</v>
      </c>
      <c r="F36" s="2" t="s">
        <v>31</v>
      </c>
      <c r="G36" s="2">
        <v>111</v>
      </c>
      <c r="H36" s="2">
        <v>345</v>
      </c>
      <c r="I36" s="2">
        <v>90</v>
      </c>
    </row>
    <row r="37" spans="1:9" ht="15.75" x14ac:dyDescent="0.25">
      <c r="A37" s="1">
        <v>46053</v>
      </c>
      <c r="B37" s="2" t="s">
        <v>32</v>
      </c>
      <c r="C37" s="2" t="s">
        <v>10</v>
      </c>
      <c r="D37" s="2" t="s">
        <v>15</v>
      </c>
      <c r="E37" s="2" t="s">
        <v>12</v>
      </c>
      <c r="F37" s="2" t="s">
        <v>31</v>
      </c>
      <c r="G37" s="2">
        <v>42</v>
      </c>
      <c r="H37" s="2">
        <v>140</v>
      </c>
      <c r="I37" s="2">
        <v>41</v>
      </c>
    </row>
    <row r="38" spans="1:9" ht="15.75" x14ac:dyDescent="0.25">
      <c r="A38" s="1">
        <v>46050</v>
      </c>
      <c r="B38" s="2" t="s">
        <v>33</v>
      </c>
      <c r="C38" s="2" t="s">
        <v>17</v>
      </c>
      <c r="D38" s="2" t="s">
        <v>11</v>
      </c>
      <c r="E38" s="2" t="s">
        <v>12</v>
      </c>
      <c r="F38" s="2" t="s">
        <v>31</v>
      </c>
      <c r="G38" s="2">
        <v>54</v>
      </c>
      <c r="H38" s="2">
        <v>134</v>
      </c>
      <c r="I38" s="2">
        <v>26</v>
      </c>
    </row>
    <row r="39" spans="1:9" ht="15.75" x14ac:dyDescent="0.25">
      <c r="A39" s="1">
        <v>46112</v>
      </c>
      <c r="B39" s="2" t="s">
        <v>33</v>
      </c>
      <c r="C39" s="2" t="s">
        <v>17</v>
      </c>
      <c r="D39" s="2" t="s">
        <v>14</v>
      </c>
      <c r="E39" s="2" t="s">
        <v>12</v>
      </c>
      <c r="F39" s="2" t="s">
        <v>31</v>
      </c>
      <c r="G39" s="2">
        <v>203</v>
      </c>
      <c r="H39" s="2">
        <v>546</v>
      </c>
      <c r="I39" s="2">
        <v>109</v>
      </c>
    </row>
    <row r="40" spans="1:9" ht="15.75" x14ac:dyDescent="0.25">
      <c r="A40" s="1">
        <v>46082</v>
      </c>
      <c r="B40" s="2" t="s">
        <v>33</v>
      </c>
      <c r="C40" s="2" t="s">
        <v>17</v>
      </c>
      <c r="D40" s="2" t="s">
        <v>15</v>
      </c>
      <c r="E40" s="2" t="s">
        <v>12</v>
      </c>
      <c r="F40" s="2" t="s">
        <v>31</v>
      </c>
      <c r="G40" s="2">
        <v>99</v>
      </c>
      <c r="H40" s="2">
        <v>341</v>
      </c>
      <c r="I40" s="2">
        <v>72</v>
      </c>
    </row>
    <row r="41" spans="1:9" ht="15.75" x14ac:dyDescent="0.25">
      <c r="A41" s="1">
        <v>46057</v>
      </c>
      <c r="B41" s="2" t="s">
        <v>34</v>
      </c>
      <c r="C41" s="2" t="s">
        <v>35</v>
      </c>
      <c r="D41" s="2" t="s">
        <v>11</v>
      </c>
      <c r="E41" s="2" t="s">
        <v>12</v>
      </c>
      <c r="F41" s="2" t="s">
        <v>31</v>
      </c>
      <c r="G41" s="2">
        <v>17</v>
      </c>
      <c r="H41" s="2">
        <v>130</v>
      </c>
      <c r="I41" s="2">
        <v>55</v>
      </c>
    </row>
    <row r="42" spans="1:9" ht="15.75" x14ac:dyDescent="0.25">
      <c r="A42" s="1">
        <v>46050</v>
      </c>
      <c r="B42" s="2" t="s">
        <v>34</v>
      </c>
      <c r="C42" s="2" t="s">
        <v>35</v>
      </c>
      <c r="D42" s="2" t="s">
        <v>14</v>
      </c>
      <c r="E42" s="2" t="s">
        <v>12</v>
      </c>
      <c r="F42" s="2" t="s">
        <v>31</v>
      </c>
      <c r="G42" s="2">
        <v>53</v>
      </c>
      <c r="H42" s="2">
        <v>134</v>
      </c>
      <c r="I42" s="2">
        <v>27</v>
      </c>
    </row>
    <row r="43" spans="1:9" ht="15.75" x14ac:dyDescent="0.25">
      <c r="A43" s="1">
        <v>46062</v>
      </c>
      <c r="B43" s="2" t="s">
        <v>34</v>
      </c>
      <c r="C43" s="2" t="s">
        <v>35</v>
      </c>
      <c r="D43" s="2" t="s">
        <v>15</v>
      </c>
      <c r="E43" s="2" t="s">
        <v>12</v>
      </c>
      <c r="F43" s="2" t="s">
        <v>31</v>
      </c>
      <c r="G43" s="2">
        <v>68</v>
      </c>
      <c r="H43" s="2">
        <v>210</v>
      </c>
      <c r="I43" s="2">
        <v>58</v>
      </c>
    </row>
    <row r="44" spans="1:9" ht="15.75" x14ac:dyDescent="0.25">
      <c r="A44" s="1">
        <v>46054</v>
      </c>
      <c r="B44" s="2" t="s">
        <v>36</v>
      </c>
      <c r="C44" s="2" t="s">
        <v>35</v>
      </c>
      <c r="D44" s="2" t="s">
        <v>11</v>
      </c>
      <c r="E44" s="2" t="s">
        <v>12</v>
      </c>
      <c r="F44" s="2" t="s">
        <v>31</v>
      </c>
      <c r="G44" s="2">
        <v>36</v>
      </c>
      <c r="H44" s="2">
        <v>140</v>
      </c>
      <c r="I44" s="2">
        <v>40</v>
      </c>
    </row>
    <row r="45" spans="1:9" ht="15.75" x14ac:dyDescent="0.25">
      <c r="A45" s="1">
        <v>46058</v>
      </c>
      <c r="B45" s="2" t="s">
        <v>36</v>
      </c>
      <c r="C45" s="2" t="s">
        <v>35</v>
      </c>
      <c r="D45" s="2" t="s">
        <v>14</v>
      </c>
      <c r="E45" s="2" t="s">
        <v>12</v>
      </c>
      <c r="F45" s="2" t="s">
        <v>31</v>
      </c>
      <c r="G45" s="2">
        <v>54</v>
      </c>
      <c r="H45" s="2">
        <v>180</v>
      </c>
      <c r="I45" s="2">
        <v>54</v>
      </c>
    </row>
    <row r="46" spans="1:9" ht="15.75" x14ac:dyDescent="0.25">
      <c r="A46" s="1">
        <v>46061</v>
      </c>
      <c r="B46" s="2" t="s">
        <v>36</v>
      </c>
      <c r="C46" s="2" t="s">
        <v>35</v>
      </c>
      <c r="D46" s="2" t="s">
        <v>15</v>
      </c>
      <c r="E46" s="2" t="s">
        <v>12</v>
      </c>
      <c r="F46" s="2" t="s">
        <v>31</v>
      </c>
      <c r="G46" s="2">
        <v>67</v>
      </c>
      <c r="H46" s="2">
        <v>200</v>
      </c>
      <c r="I46" s="2">
        <v>49</v>
      </c>
    </row>
    <row r="47" spans="1:9" ht="15.75" x14ac:dyDescent="0.25">
      <c r="A47" s="1">
        <v>46049</v>
      </c>
      <c r="B47" s="2" t="s">
        <v>37</v>
      </c>
      <c r="C47" s="2" t="s">
        <v>35</v>
      </c>
      <c r="D47" s="2" t="s">
        <v>11</v>
      </c>
      <c r="E47" s="2" t="s">
        <v>12</v>
      </c>
      <c r="F47" s="2" t="s">
        <v>31</v>
      </c>
      <c r="G47" s="2">
        <v>30</v>
      </c>
      <c r="H47" s="2">
        <v>100</v>
      </c>
      <c r="I47" s="2">
        <v>26</v>
      </c>
    </row>
    <row r="48" spans="1:9" ht="15.75" x14ac:dyDescent="0.25">
      <c r="A48" s="1">
        <v>46062</v>
      </c>
      <c r="B48" s="2" t="s">
        <v>32</v>
      </c>
      <c r="C48" s="2" t="s">
        <v>10</v>
      </c>
      <c r="D48" s="2" t="s">
        <v>22</v>
      </c>
      <c r="E48" s="2" t="s">
        <v>23</v>
      </c>
      <c r="F48" s="2" t="s">
        <v>31</v>
      </c>
      <c r="G48" s="2">
        <v>68</v>
      </c>
      <c r="H48" s="2">
        <v>210</v>
      </c>
      <c r="I48" s="2">
        <v>58</v>
      </c>
    </row>
    <row r="49" spans="1:9" ht="15.75" x14ac:dyDescent="0.25">
      <c r="A49" s="1">
        <v>46058</v>
      </c>
      <c r="B49" s="2" t="s">
        <v>32</v>
      </c>
      <c r="C49" s="2" t="s">
        <v>10</v>
      </c>
      <c r="D49" s="2" t="s">
        <v>24</v>
      </c>
      <c r="E49" s="2" t="s">
        <v>23</v>
      </c>
      <c r="F49" s="2" t="s">
        <v>31</v>
      </c>
      <c r="G49" s="2">
        <v>367</v>
      </c>
      <c r="H49" s="2">
        <v>494</v>
      </c>
      <c r="I49" s="2">
        <v>55</v>
      </c>
    </row>
    <row r="50" spans="1:9" ht="15.75" x14ac:dyDescent="0.25">
      <c r="A50" s="1">
        <v>46129</v>
      </c>
      <c r="B50" s="2" t="s">
        <v>32</v>
      </c>
      <c r="C50" s="2" t="s">
        <v>10</v>
      </c>
      <c r="D50" s="2" t="s">
        <v>25</v>
      </c>
      <c r="E50" s="2" t="s">
        <v>23</v>
      </c>
      <c r="F50" s="2" t="s">
        <v>31</v>
      </c>
      <c r="G50" s="2">
        <v>262</v>
      </c>
      <c r="H50" s="2">
        <v>678</v>
      </c>
      <c r="I50" s="2">
        <v>145</v>
      </c>
    </row>
    <row r="52" spans="1:9" x14ac:dyDescent="0.25">
      <c r="H52">
        <f>SUM(H2:H50)</f>
        <v>11046</v>
      </c>
    </row>
  </sheetData>
  <dataValidations count="1">
    <dataValidation type="list" allowBlank="1" showInputMessage="1" showErrorMessage="1" sqref="K23" xr:uid="{6F01BE75-E947-458C-896D-0ED862B972F6}">
      <formula1>$C$2:$C$50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A17F-71D1-4341-95A3-C570B84B43A5}">
  <dimension ref="A1:M52"/>
  <sheetViews>
    <sheetView topLeftCell="C1" zoomScaleNormal="100" workbookViewId="0">
      <selection activeCell="F12" sqref="F12"/>
    </sheetView>
  </sheetViews>
  <sheetFormatPr defaultRowHeight="15" x14ac:dyDescent="0.25"/>
  <cols>
    <col min="1" max="1" width="11.5703125" bestFit="1" customWidth="1"/>
    <col min="2" max="2" width="17.85546875" bestFit="1" customWidth="1"/>
    <col min="3" max="3" width="19.140625" bestFit="1" customWidth="1"/>
    <col min="4" max="4" width="14.42578125" bestFit="1" customWidth="1"/>
    <col min="5" max="5" width="12.28515625" bestFit="1" customWidth="1"/>
    <col min="6" max="6" width="7.7109375" bestFit="1" customWidth="1"/>
    <col min="7" max="7" width="8.7109375" bestFit="1" customWidth="1"/>
    <col min="8" max="8" width="9" bestFit="1" customWidth="1"/>
    <col min="9" max="9" width="22.28515625" bestFit="1" customWidth="1"/>
    <col min="11" max="11" width="28.7109375" bestFit="1" customWidth="1"/>
    <col min="12" max="12" width="10.7109375" bestFit="1" customWidth="1"/>
    <col min="13" max="13" width="39.85546875" bestFit="1" customWidth="1"/>
  </cols>
  <sheetData>
    <row r="1" spans="1:13" ht="24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3" ht="24" x14ac:dyDescent="0.4">
      <c r="A2" s="1">
        <v>38717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101</v>
      </c>
      <c r="H2" s="2">
        <v>234</v>
      </c>
      <c r="I2" s="2">
        <v>38</v>
      </c>
      <c r="K2" s="3" t="s">
        <v>38</v>
      </c>
      <c r="M2" s="3" t="s">
        <v>39</v>
      </c>
    </row>
    <row r="3" spans="1:13" ht="15.75" x14ac:dyDescent="0.25">
      <c r="A3" s="1">
        <v>38717</v>
      </c>
      <c r="B3" s="2" t="s">
        <v>9</v>
      </c>
      <c r="C3" s="2" t="s">
        <v>10</v>
      </c>
      <c r="D3" s="2" t="s">
        <v>14</v>
      </c>
      <c r="E3" s="2" t="s">
        <v>12</v>
      </c>
      <c r="F3" s="2" t="s">
        <v>13</v>
      </c>
      <c r="G3" s="2">
        <v>87</v>
      </c>
      <c r="H3" s="2">
        <v>234</v>
      </c>
      <c r="I3" s="2">
        <v>52</v>
      </c>
      <c r="K3" s="5"/>
      <c r="L3" s="6"/>
      <c r="M3" s="5"/>
    </row>
    <row r="4" spans="1:13" ht="15.75" x14ac:dyDescent="0.25">
      <c r="A4" s="1">
        <v>38717</v>
      </c>
      <c r="B4" s="2" t="s">
        <v>9</v>
      </c>
      <c r="C4" s="2" t="s">
        <v>10</v>
      </c>
      <c r="D4" s="2" t="s">
        <v>15</v>
      </c>
      <c r="E4" s="2" t="s">
        <v>12</v>
      </c>
      <c r="F4" s="2" t="s">
        <v>13</v>
      </c>
      <c r="G4" s="2">
        <v>0</v>
      </c>
      <c r="H4" s="2">
        <v>150</v>
      </c>
      <c r="I4" s="2">
        <v>87</v>
      </c>
    </row>
    <row r="5" spans="1:13" ht="15.75" x14ac:dyDescent="0.25">
      <c r="A5" s="1">
        <v>38717</v>
      </c>
      <c r="B5" s="2" t="s">
        <v>16</v>
      </c>
      <c r="C5" s="2" t="s">
        <v>17</v>
      </c>
      <c r="D5" s="2" t="s">
        <v>11</v>
      </c>
      <c r="E5" s="2" t="s">
        <v>12</v>
      </c>
      <c r="F5" s="2" t="s">
        <v>13</v>
      </c>
      <c r="G5" s="2">
        <v>53</v>
      </c>
      <c r="H5" s="2">
        <v>180</v>
      </c>
      <c r="I5" s="2">
        <v>55</v>
      </c>
    </row>
    <row r="6" spans="1:13" ht="15.75" x14ac:dyDescent="0.25">
      <c r="A6" s="1">
        <v>46035</v>
      </c>
      <c r="B6" s="2" t="s">
        <v>16</v>
      </c>
      <c r="C6" s="2" t="s">
        <v>17</v>
      </c>
      <c r="D6" s="2" t="s">
        <v>14</v>
      </c>
      <c r="E6" s="2" t="s">
        <v>12</v>
      </c>
      <c r="F6" s="2" t="s">
        <v>13</v>
      </c>
      <c r="G6" s="2">
        <v>140</v>
      </c>
      <c r="H6" s="2">
        <v>456</v>
      </c>
      <c r="I6" s="2">
        <v>88</v>
      </c>
    </row>
    <row r="7" spans="1:13" ht="24" x14ac:dyDescent="0.4">
      <c r="A7" s="1">
        <v>38717</v>
      </c>
      <c r="B7" s="2" t="s">
        <v>16</v>
      </c>
      <c r="C7" s="2" t="s">
        <v>17</v>
      </c>
      <c r="D7" s="2" t="s">
        <v>15</v>
      </c>
      <c r="E7" s="2" t="s">
        <v>12</v>
      </c>
      <c r="F7" s="2" t="s">
        <v>13</v>
      </c>
      <c r="G7" s="2">
        <v>16</v>
      </c>
      <c r="H7" s="2">
        <v>130</v>
      </c>
      <c r="I7" s="2">
        <v>56</v>
      </c>
      <c r="K7" s="3" t="s">
        <v>40</v>
      </c>
      <c r="M7" s="3" t="s">
        <v>41</v>
      </c>
    </row>
    <row r="8" spans="1:13" ht="15.75" x14ac:dyDescent="0.25">
      <c r="A8" s="1">
        <v>46082</v>
      </c>
      <c r="B8" s="2" t="s">
        <v>18</v>
      </c>
      <c r="C8" s="2" t="s">
        <v>19</v>
      </c>
      <c r="D8" s="2" t="s">
        <v>11</v>
      </c>
      <c r="E8" s="2" t="s">
        <v>12</v>
      </c>
      <c r="F8" s="2" t="s">
        <v>13</v>
      </c>
      <c r="G8" s="2">
        <v>99</v>
      </c>
      <c r="H8" s="2">
        <v>341</v>
      </c>
      <c r="I8" s="2">
        <v>72</v>
      </c>
      <c r="K8" s="5"/>
      <c r="M8" s="5"/>
    </row>
    <row r="9" spans="1:13" ht="15.75" x14ac:dyDescent="0.25">
      <c r="A9" s="1">
        <v>46059</v>
      </c>
      <c r="B9" s="2" t="s">
        <v>18</v>
      </c>
      <c r="C9" s="2" t="s">
        <v>19</v>
      </c>
      <c r="D9" s="2" t="s">
        <v>14</v>
      </c>
      <c r="E9" s="2" t="s">
        <v>12</v>
      </c>
      <c r="F9" s="2" t="s">
        <v>13</v>
      </c>
      <c r="G9" s="2">
        <v>95</v>
      </c>
      <c r="H9" s="2">
        <v>219</v>
      </c>
      <c r="I9" s="2">
        <v>35</v>
      </c>
    </row>
    <row r="10" spans="1:13" ht="15.75" x14ac:dyDescent="0.25">
      <c r="A10" s="1">
        <v>46043</v>
      </c>
      <c r="B10" s="2" t="s">
        <v>18</v>
      </c>
      <c r="C10" s="2" t="s">
        <v>19</v>
      </c>
      <c r="D10" s="2" t="s">
        <v>15</v>
      </c>
      <c r="E10" s="2" t="s">
        <v>12</v>
      </c>
      <c r="F10" s="2" t="s">
        <v>13</v>
      </c>
      <c r="G10" s="2">
        <v>29</v>
      </c>
      <c r="H10" s="2">
        <v>80</v>
      </c>
      <c r="I10" s="2">
        <v>19</v>
      </c>
      <c r="K10" s="4"/>
    </row>
    <row r="11" spans="1:13" ht="15.75" x14ac:dyDescent="0.25">
      <c r="A11" s="1">
        <v>46092</v>
      </c>
      <c r="B11" s="2" t="s">
        <v>20</v>
      </c>
      <c r="C11" s="2" t="s">
        <v>19</v>
      </c>
      <c r="D11" s="2" t="s">
        <v>11</v>
      </c>
      <c r="E11" s="2" t="s">
        <v>12</v>
      </c>
      <c r="F11" s="2" t="s">
        <v>13</v>
      </c>
      <c r="G11" s="2">
        <v>0</v>
      </c>
      <c r="H11" s="2">
        <v>150</v>
      </c>
      <c r="I11" s="2">
        <v>87</v>
      </c>
    </row>
    <row r="12" spans="1:13" ht="15.75" x14ac:dyDescent="0.25">
      <c r="A12" s="1">
        <v>46062</v>
      </c>
      <c r="B12" s="2" t="s">
        <v>20</v>
      </c>
      <c r="C12" s="2" t="s">
        <v>19</v>
      </c>
      <c r="D12" s="2" t="s">
        <v>14</v>
      </c>
      <c r="E12" s="2" t="s">
        <v>12</v>
      </c>
      <c r="F12" s="2" t="s">
        <v>13</v>
      </c>
      <c r="G12" s="2">
        <v>68</v>
      </c>
      <c r="H12" s="2">
        <v>190</v>
      </c>
      <c r="I12" s="2">
        <v>39</v>
      </c>
      <c r="K12" s="7" t="s">
        <v>42</v>
      </c>
      <c r="M12" s="7" t="s">
        <v>43</v>
      </c>
    </row>
    <row r="13" spans="1:13" ht="15.75" x14ac:dyDescent="0.25">
      <c r="A13" s="1">
        <v>46043</v>
      </c>
      <c r="B13" s="2" t="s">
        <v>20</v>
      </c>
      <c r="C13" s="2" t="s">
        <v>19</v>
      </c>
      <c r="D13" s="2" t="s">
        <v>15</v>
      </c>
      <c r="E13" s="2" t="s">
        <v>12</v>
      </c>
      <c r="F13" s="2" t="s">
        <v>13</v>
      </c>
      <c r="G13" s="2">
        <v>29</v>
      </c>
      <c r="H13" s="2">
        <v>80</v>
      </c>
      <c r="I13" s="2">
        <v>19</v>
      </c>
      <c r="K13" s="5"/>
      <c r="M13" s="5"/>
    </row>
    <row r="14" spans="1:13" ht="15.75" x14ac:dyDescent="0.25">
      <c r="A14" s="1">
        <v>46054</v>
      </c>
      <c r="B14" s="2" t="s">
        <v>21</v>
      </c>
      <c r="C14" s="2" t="s">
        <v>19</v>
      </c>
      <c r="D14" s="2" t="s">
        <v>11</v>
      </c>
      <c r="E14" s="2" t="s">
        <v>12</v>
      </c>
      <c r="F14" s="2" t="s">
        <v>13</v>
      </c>
      <c r="G14" s="2">
        <v>33</v>
      </c>
      <c r="H14" s="2">
        <v>140</v>
      </c>
      <c r="I14" s="2">
        <v>47</v>
      </c>
    </row>
    <row r="15" spans="1:13" ht="15.75" x14ac:dyDescent="0.25">
      <c r="A15" s="1">
        <v>46061</v>
      </c>
      <c r="B15" s="2" t="s">
        <v>21</v>
      </c>
      <c r="C15" s="2" t="s">
        <v>19</v>
      </c>
      <c r="D15" s="2" t="s">
        <v>14</v>
      </c>
      <c r="E15" s="2" t="s">
        <v>12</v>
      </c>
      <c r="F15" s="2" t="s">
        <v>13</v>
      </c>
      <c r="G15" s="2">
        <v>101</v>
      </c>
      <c r="H15" s="2">
        <v>234</v>
      </c>
      <c r="I15" s="2">
        <v>38</v>
      </c>
    </row>
    <row r="16" spans="1:13" ht="18.75" x14ac:dyDescent="0.3">
      <c r="A16" s="1">
        <v>46061</v>
      </c>
      <c r="B16" s="2" t="s">
        <v>9</v>
      </c>
      <c r="C16" s="2" t="s">
        <v>10</v>
      </c>
      <c r="D16" s="2" t="s">
        <v>22</v>
      </c>
      <c r="E16" s="2" t="s">
        <v>23</v>
      </c>
      <c r="F16" s="2" t="s">
        <v>13</v>
      </c>
      <c r="G16" s="2">
        <v>67</v>
      </c>
      <c r="H16" s="2">
        <v>200</v>
      </c>
      <c r="I16" s="2">
        <v>49</v>
      </c>
      <c r="K16" s="8" t="s">
        <v>44</v>
      </c>
      <c r="M16" s="8" t="s">
        <v>45</v>
      </c>
    </row>
    <row r="17" spans="1:13" ht="15.75" x14ac:dyDescent="0.25">
      <c r="A17" s="1">
        <v>46060</v>
      </c>
      <c r="B17" s="2" t="s">
        <v>16</v>
      </c>
      <c r="C17" s="2" t="s">
        <v>17</v>
      </c>
      <c r="D17" s="2" t="s">
        <v>22</v>
      </c>
      <c r="E17" s="2" t="s">
        <v>23</v>
      </c>
      <c r="F17" s="2" t="s">
        <v>13</v>
      </c>
      <c r="G17" s="2">
        <v>50</v>
      </c>
      <c r="H17" s="2">
        <v>180</v>
      </c>
      <c r="I17" s="2">
        <v>53</v>
      </c>
      <c r="K17" s="5"/>
      <c r="M17" s="5"/>
    </row>
    <row r="18" spans="1:13" ht="15.75" x14ac:dyDescent="0.25">
      <c r="A18" s="1">
        <v>46050</v>
      </c>
      <c r="B18" s="2" t="s">
        <v>18</v>
      </c>
      <c r="C18" s="2" t="s">
        <v>19</v>
      </c>
      <c r="D18" s="2" t="s">
        <v>22</v>
      </c>
      <c r="E18" s="2" t="s">
        <v>23</v>
      </c>
      <c r="F18" s="2" t="s">
        <v>13</v>
      </c>
      <c r="G18" s="2">
        <v>34</v>
      </c>
      <c r="H18" s="2">
        <v>110</v>
      </c>
      <c r="I18" s="2">
        <v>28</v>
      </c>
    </row>
    <row r="19" spans="1:13" ht="15.75" x14ac:dyDescent="0.25">
      <c r="A19" s="1">
        <v>46055</v>
      </c>
      <c r="B19" s="2" t="s">
        <v>20</v>
      </c>
      <c r="C19" s="2" t="s">
        <v>19</v>
      </c>
      <c r="D19" s="2" t="s">
        <v>22</v>
      </c>
      <c r="E19" s="2" t="s">
        <v>23</v>
      </c>
      <c r="F19" s="2" t="s">
        <v>13</v>
      </c>
      <c r="G19" s="2">
        <v>13</v>
      </c>
      <c r="H19" s="2">
        <v>120</v>
      </c>
      <c r="I19" s="2">
        <v>53</v>
      </c>
    </row>
    <row r="20" spans="1:13" ht="15.75" x14ac:dyDescent="0.25">
      <c r="A20" s="1">
        <v>46057</v>
      </c>
      <c r="B20" s="2" t="s">
        <v>20</v>
      </c>
      <c r="C20" s="2" t="s">
        <v>19</v>
      </c>
      <c r="D20" s="2" t="s">
        <v>24</v>
      </c>
      <c r="E20" s="2" t="s">
        <v>23</v>
      </c>
      <c r="F20" s="2" t="s">
        <v>13</v>
      </c>
      <c r="G20" s="2">
        <v>17</v>
      </c>
      <c r="H20" s="2">
        <v>130</v>
      </c>
      <c r="I20" s="2">
        <v>55</v>
      </c>
    </row>
    <row r="21" spans="1:13" ht="15.75" x14ac:dyDescent="0.25">
      <c r="A21" s="1">
        <v>46128</v>
      </c>
      <c r="B21" s="2" t="s">
        <v>20</v>
      </c>
      <c r="C21" s="2" t="s">
        <v>19</v>
      </c>
      <c r="D21" s="2" t="s">
        <v>25</v>
      </c>
      <c r="E21" s="2" t="s">
        <v>23</v>
      </c>
      <c r="F21" s="2" t="s">
        <v>13</v>
      </c>
      <c r="G21" s="2">
        <v>111</v>
      </c>
      <c r="H21" s="2">
        <v>483</v>
      </c>
      <c r="I21" s="2">
        <v>127</v>
      </c>
    </row>
    <row r="22" spans="1:13" ht="15.75" x14ac:dyDescent="0.25">
      <c r="A22" s="1">
        <v>46056</v>
      </c>
      <c r="B22" s="2" t="s">
        <v>21</v>
      </c>
      <c r="C22" s="2" t="s">
        <v>19</v>
      </c>
      <c r="D22" s="2" t="s">
        <v>22</v>
      </c>
      <c r="E22" s="2" t="s">
        <v>23</v>
      </c>
      <c r="F22" s="2" t="s">
        <v>13</v>
      </c>
      <c r="G22" s="2">
        <v>39</v>
      </c>
      <c r="H22" s="2">
        <v>150</v>
      </c>
      <c r="I22" s="2">
        <v>42</v>
      </c>
      <c r="K22" s="7" t="s">
        <v>46</v>
      </c>
      <c r="L22" s="7" t="s">
        <v>47</v>
      </c>
    </row>
    <row r="23" spans="1:13" ht="15.75" x14ac:dyDescent="0.25">
      <c r="A23" s="1">
        <v>46099</v>
      </c>
      <c r="B23" s="2" t="s">
        <v>21</v>
      </c>
      <c r="C23" s="2" t="s">
        <v>19</v>
      </c>
      <c r="D23" s="2" t="s">
        <v>25</v>
      </c>
      <c r="E23" s="2" t="s">
        <v>23</v>
      </c>
      <c r="F23" s="2" t="s">
        <v>13</v>
      </c>
      <c r="G23" s="2">
        <v>-113</v>
      </c>
      <c r="H23" s="2">
        <v>180</v>
      </c>
      <c r="I23" s="2">
        <v>86</v>
      </c>
      <c r="K23" s="5" t="s">
        <v>17</v>
      </c>
      <c r="L23" s="5"/>
    </row>
    <row r="24" spans="1:13" ht="15.75" x14ac:dyDescent="0.25">
      <c r="A24" s="1">
        <v>46062</v>
      </c>
      <c r="B24" s="2" t="s">
        <v>9</v>
      </c>
      <c r="C24" s="2" t="s">
        <v>10</v>
      </c>
      <c r="D24" s="2" t="s">
        <v>26</v>
      </c>
      <c r="E24" s="2" t="s">
        <v>27</v>
      </c>
      <c r="F24" s="2" t="s">
        <v>13</v>
      </c>
      <c r="G24" s="2">
        <v>68</v>
      </c>
      <c r="H24" s="2">
        <v>190</v>
      </c>
      <c r="I24" s="2">
        <v>39</v>
      </c>
    </row>
    <row r="25" spans="1:13" ht="15.75" x14ac:dyDescent="0.25">
      <c r="A25" s="1">
        <v>46050</v>
      </c>
      <c r="B25" s="2" t="s">
        <v>16</v>
      </c>
      <c r="C25" s="2" t="s">
        <v>17</v>
      </c>
      <c r="D25" s="2" t="s">
        <v>26</v>
      </c>
      <c r="E25" s="2" t="s">
        <v>27</v>
      </c>
      <c r="F25" s="2" t="s">
        <v>13</v>
      </c>
      <c r="G25" s="2">
        <v>54</v>
      </c>
      <c r="H25" s="2">
        <v>134</v>
      </c>
      <c r="I25" s="2">
        <v>26</v>
      </c>
    </row>
    <row r="26" spans="1:13" ht="15.75" x14ac:dyDescent="0.25">
      <c r="A26" s="1">
        <v>46054</v>
      </c>
      <c r="B26" s="2" t="s">
        <v>18</v>
      </c>
      <c r="C26" s="2" t="s">
        <v>19</v>
      </c>
      <c r="D26" s="2" t="s">
        <v>26</v>
      </c>
      <c r="E26" s="2" t="s">
        <v>27</v>
      </c>
      <c r="F26" s="2" t="s">
        <v>13</v>
      </c>
      <c r="G26" s="2">
        <v>33</v>
      </c>
      <c r="H26" s="2">
        <v>140</v>
      </c>
      <c r="I26" s="2">
        <v>47</v>
      </c>
    </row>
    <row r="27" spans="1:13" ht="24" x14ac:dyDescent="0.4">
      <c r="A27" s="1">
        <v>46053</v>
      </c>
      <c r="B27" s="2" t="s">
        <v>20</v>
      </c>
      <c r="C27" s="2" t="s">
        <v>19</v>
      </c>
      <c r="D27" s="2" t="s">
        <v>26</v>
      </c>
      <c r="E27" s="2" t="s">
        <v>27</v>
      </c>
      <c r="F27" s="2" t="s">
        <v>13</v>
      </c>
      <c r="G27" s="2">
        <v>42</v>
      </c>
      <c r="H27" s="2">
        <v>140</v>
      </c>
      <c r="I27" s="2">
        <v>41</v>
      </c>
      <c r="K27" s="3" t="s">
        <v>46</v>
      </c>
      <c r="L27" s="5"/>
    </row>
    <row r="28" spans="1:13" ht="24" x14ac:dyDescent="0.4">
      <c r="A28" s="1">
        <v>46082</v>
      </c>
      <c r="B28" s="2" t="s">
        <v>9</v>
      </c>
      <c r="C28" s="2" t="s">
        <v>10</v>
      </c>
      <c r="D28" s="2" t="s">
        <v>28</v>
      </c>
      <c r="E28" s="2" t="s">
        <v>29</v>
      </c>
      <c r="F28" s="2" t="s">
        <v>13</v>
      </c>
      <c r="G28" s="2">
        <v>-117</v>
      </c>
      <c r="H28" s="2">
        <v>118</v>
      </c>
      <c r="I28" s="2">
        <v>91</v>
      </c>
      <c r="K28" s="3" t="s">
        <v>48</v>
      </c>
      <c r="L28" s="5"/>
    </row>
    <row r="29" spans="1:13" ht="24" x14ac:dyDescent="0.4">
      <c r="A29" s="1">
        <v>46112</v>
      </c>
      <c r="B29" s="2" t="s">
        <v>16</v>
      </c>
      <c r="C29" s="2" t="s">
        <v>17</v>
      </c>
      <c r="D29" s="2" t="s">
        <v>28</v>
      </c>
      <c r="E29" s="2" t="s">
        <v>29</v>
      </c>
      <c r="F29" s="2" t="s">
        <v>13</v>
      </c>
      <c r="G29" s="2">
        <v>203</v>
      </c>
      <c r="H29" s="2">
        <v>546</v>
      </c>
      <c r="I29" s="2">
        <v>109</v>
      </c>
      <c r="K29" s="3" t="s">
        <v>49</v>
      </c>
      <c r="L29" s="5"/>
    </row>
    <row r="30" spans="1:13" ht="24" x14ac:dyDescent="0.4">
      <c r="A30" s="1">
        <v>46061</v>
      </c>
      <c r="B30" s="2" t="s">
        <v>18</v>
      </c>
      <c r="C30" s="2" t="s">
        <v>19</v>
      </c>
      <c r="D30" s="2" t="s">
        <v>28</v>
      </c>
      <c r="E30" s="2" t="s">
        <v>29</v>
      </c>
      <c r="F30" s="2" t="s">
        <v>13</v>
      </c>
      <c r="G30" s="2">
        <v>102</v>
      </c>
      <c r="H30" s="2">
        <v>234</v>
      </c>
      <c r="I30" s="2">
        <v>37</v>
      </c>
      <c r="K30" s="3" t="s">
        <v>50</v>
      </c>
      <c r="L30" s="5"/>
    </row>
    <row r="31" spans="1:13" ht="24" x14ac:dyDescent="0.4">
      <c r="A31" s="1">
        <v>46099</v>
      </c>
      <c r="B31" s="2" t="s">
        <v>20</v>
      </c>
      <c r="C31" s="2" t="s">
        <v>19</v>
      </c>
      <c r="D31" s="2" t="s">
        <v>28</v>
      </c>
      <c r="E31" s="2" t="s">
        <v>29</v>
      </c>
      <c r="F31" s="2" t="s">
        <v>13</v>
      </c>
      <c r="G31" s="2">
        <v>160</v>
      </c>
      <c r="H31" s="2">
        <v>452</v>
      </c>
      <c r="I31" s="2">
        <v>85</v>
      </c>
      <c r="K31" s="3" t="s">
        <v>51</v>
      </c>
      <c r="L31" s="5"/>
    </row>
    <row r="32" spans="1:13" ht="24" x14ac:dyDescent="0.4">
      <c r="A32" s="1">
        <v>46062</v>
      </c>
      <c r="B32" s="2" t="s">
        <v>21</v>
      </c>
      <c r="C32" s="2" t="s">
        <v>19</v>
      </c>
      <c r="D32" s="2" t="s">
        <v>28</v>
      </c>
      <c r="E32" s="2" t="s">
        <v>29</v>
      </c>
      <c r="F32" s="2" t="s">
        <v>13</v>
      </c>
      <c r="G32" s="2">
        <v>67</v>
      </c>
      <c r="H32" s="2">
        <v>190</v>
      </c>
      <c r="I32" s="2">
        <v>40</v>
      </c>
      <c r="K32" s="3" t="s">
        <v>52</v>
      </c>
      <c r="L32" s="5"/>
    </row>
    <row r="33" spans="1:9" ht="15.75" x14ac:dyDescent="0.25">
      <c r="A33" s="1">
        <v>46059</v>
      </c>
      <c r="B33" s="2" t="s">
        <v>30</v>
      </c>
      <c r="C33" s="2" t="s">
        <v>10</v>
      </c>
      <c r="D33" s="2" t="s">
        <v>11</v>
      </c>
      <c r="E33" s="2" t="s">
        <v>12</v>
      </c>
      <c r="F33" s="2" t="s">
        <v>31</v>
      </c>
      <c r="G33" s="2">
        <v>94</v>
      </c>
      <c r="H33" s="2">
        <v>219</v>
      </c>
      <c r="I33" s="2">
        <v>36</v>
      </c>
    </row>
    <row r="34" spans="1:9" ht="15.75" x14ac:dyDescent="0.25">
      <c r="A34" s="1">
        <v>46054</v>
      </c>
      <c r="B34" s="2" t="s">
        <v>30</v>
      </c>
      <c r="C34" s="2" t="s">
        <v>10</v>
      </c>
      <c r="D34" s="2" t="s">
        <v>15</v>
      </c>
      <c r="E34" s="2" t="s">
        <v>12</v>
      </c>
      <c r="F34" s="2" t="s">
        <v>31</v>
      </c>
      <c r="G34" s="2">
        <v>34</v>
      </c>
      <c r="H34" s="2">
        <v>140</v>
      </c>
      <c r="I34" s="2">
        <v>46</v>
      </c>
    </row>
    <row r="35" spans="1:9" ht="15.75" x14ac:dyDescent="0.25">
      <c r="A35" s="1">
        <v>46062</v>
      </c>
      <c r="B35" s="2" t="s">
        <v>32</v>
      </c>
      <c r="C35" s="2" t="s">
        <v>10</v>
      </c>
      <c r="D35" s="2" t="s">
        <v>11</v>
      </c>
      <c r="E35" s="2" t="s">
        <v>12</v>
      </c>
      <c r="F35" s="2" t="s">
        <v>31</v>
      </c>
      <c r="G35" s="2">
        <v>68</v>
      </c>
      <c r="H35" s="2">
        <v>190</v>
      </c>
      <c r="I35" s="2">
        <v>39</v>
      </c>
    </row>
    <row r="36" spans="1:9" ht="15.75" x14ac:dyDescent="0.25">
      <c r="A36" s="1">
        <v>46082</v>
      </c>
      <c r="B36" s="2" t="s">
        <v>32</v>
      </c>
      <c r="C36" s="2" t="s">
        <v>10</v>
      </c>
      <c r="D36" s="2" t="s">
        <v>14</v>
      </c>
      <c r="E36" s="2" t="s">
        <v>12</v>
      </c>
      <c r="F36" s="2" t="s">
        <v>31</v>
      </c>
      <c r="G36" s="2">
        <v>111</v>
      </c>
      <c r="H36" s="2">
        <v>345</v>
      </c>
      <c r="I36" s="2">
        <v>90</v>
      </c>
    </row>
    <row r="37" spans="1:9" ht="15.75" x14ac:dyDescent="0.25">
      <c r="A37" s="1">
        <v>46053</v>
      </c>
      <c r="B37" s="2" t="s">
        <v>32</v>
      </c>
      <c r="C37" s="2" t="s">
        <v>10</v>
      </c>
      <c r="D37" s="2" t="s">
        <v>15</v>
      </c>
      <c r="E37" s="2" t="s">
        <v>12</v>
      </c>
      <c r="F37" s="2" t="s">
        <v>31</v>
      </c>
      <c r="G37" s="2">
        <v>42</v>
      </c>
      <c r="H37" s="2">
        <v>140</v>
      </c>
      <c r="I37" s="2">
        <v>41</v>
      </c>
    </row>
    <row r="38" spans="1:9" ht="15.75" x14ac:dyDescent="0.25">
      <c r="A38" s="1">
        <v>46050</v>
      </c>
      <c r="B38" s="2" t="s">
        <v>33</v>
      </c>
      <c r="C38" s="2" t="s">
        <v>17</v>
      </c>
      <c r="D38" s="2" t="s">
        <v>11</v>
      </c>
      <c r="E38" s="2" t="s">
        <v>12</v>
      </c>
      <c r="F38" s="2" t="s">
        <v>31</v>
      </c>
      <c r="G38" s="2">
        <v>54</v>
      </c>
      <c r="H38" s="2">
        <v>134</v>
      </c>
      <c r="I38" s="2">
        <v>26</v>
      </c>
    </row>
    <row r="39" spans="1:9" ht="15.75" x14ac:dyDescent="0.25">
      <c r="A39" s="1">
        <v>46112</v>
      </c>
      <c r="B39" s="2" t="s">
        <v>33</v>
      </c>
      <c r="C39" s="2" t="s">
        <v>17</v>
      </c>
      <c r="D39" s="2" t="s">
        <v>14</v>
      </c>
      <c r="E39" s="2" t="s">
        <v>12</v>
      </c>
      <c r="F39" s="2" t="s">
        <v>31</v>
      </c>
      <c r="G39" s="2">
        <v>203</v>
      </c>
      <c r="H39" s="2">
        <v>546</v>
      </c>
      <c r="I39" s="2">
        <v>109</v>
      </c>
    </row>
    <row r="40" spans="1:9" ht="15.75" x14ac:dyDescent="0.25">
      <c r="A40" s="1">
        <v>46082</v>
      </c>
      <c r="B40" s="2" t="s">
        <v>33</v>
      </c>
      <c r="C40" s="2" t="s">
        <v>17</v>
      </c>
      <c r="D40" s="2" t="s">
        <v>15</v>
      </c>
      <c r="E40" s="2" t="s">
        <v>12</v>
      </c>
      <c r="F40" s="2" t="s">
        <v>31</v>
      </c>
      <c r="G40" s="2">
        <v>99</v>
      </c>
      <c r="H40" s="2">
        <v>341</v>
      </c>
      <c r="I40" s="2">
        <v>72</v>
      </c>
    </row>
    <row r="41" spans="1:9" ht="15.75" x14ac:dyDescent="0.25">
      <c r="A41" s="1">
        <v>46057</v>
      </c>
      <c r="B41" s="2" t="s">
        <v>34</v>
      </c>
      <c r="C41" s="2" t="s">
        <v>35</v>
      </c>
      <c r="D41" s="2" t="s">
        <v>11</v>
      </c>
      <c r="E41" s="2" t="s">
        <v>12</v>
      </c>
      <c r="F41" s="2" t="s">
        <v>31</v>
      </c>
      <c r="G41" s="2">
        <v>17</v>
      </c>
      <c r="H41" s="2">
        <v>130</v>
      </c>
      <c r="I41" s="2">
        <v>55</v>
      </c>
    </row>
    <row r="42" spans="1:9" ht="15.75" x14ac:dyDescent="0.25">
      <c r="A42" s="1">
        <v>46050</v>
      </c>
      <c r="B42" s="2" t="s">
        <v>34</v>
      </c>
      <c r="C42" s="2" t="s">
        <v>35</v>
      </c>
      <c r="D42" s="2" t="s">
        <v>14</v>
      </c>
      <c r="E42" s="2" t="s">
        <v>12</v>
      </c>
      <c r="F42" s="2" t="s">
        <v>31</v>
      </c>
      <c r="G42" s="2">
        <v>53</v>
      </c>
      <c r="H42" s="2">
        <v>134</v>
      </c>
      <c r="I42" s="2">
        <v>27</v>
      </c>
    </row>
    <row r="43" spans="1:9" ht="15.75" x14ac:dyDescent="0.25">
      <c r="A43" s="1">
        <v>46062</v>
      </c>
      <c r="B43" s="2" t="s">
        <v>34</v>
      </c>
      <c r="C43" s="2" t="s">
        <v>35</v>
      </c>
      <c r="D43" s="2" t="s">
        <v>15</v>
      </c>
      <c r="E43" s="2" t="s">
        <v>12</v>
      </c>
      <c r="F43" s="2" t="s">
        <v>31</v>
      </c>
      <c r="G43" s="2">
        <v>68</v>
      </c>
      <c r="H43" s="2">
        <v>210</v>
      </c>
      <c r="I43" s="2">
        <v>58</v>
      </c>
    </row>
    <row r="44" spans="1:9" ht="15.75" x14ac:dyDescent="0.25">
      <c r="A44" s="1">
        <v>46054</v>
      </c>
      <c r="B44" s="2" t="s">
        <v>36</v>
      </c>
      <c r="C44" s="2" t="s">
        <v>35</v>
      </c>
      <c r="D44" s="2" t="s">
        <v>11</v>
      </c>
      <c r="E44" s="2" t="s">
        <v>12</v>
      </c>
      <c r="F44" s="2" t="s">
        <v>31</v>
      </c>
      <c r="G44" s="2">
        <v>36</v>
      </c>
      <c r="H44" s="2">
        <v>140</v>
      </c>
      <c r="I44" s="2">
        <v>40</v>
      </c>
    </row>
    <row r="45" spans="1:9" ht="15.75" x14ac:dyDescent="0.25">
      <c r="A45" s="1">
        <v>46058</v>
      </c>
      <c r="B45" s="2" t="s">
        <v>36</v>
      </c>
      <c r="C45" s="2" t="s">
        <v>35</v>
      </c>
      <c r="D45" s="2" t="s">
        <v>14</v>
      </c>
      <c r="E45" s="2" t="s">
        <v>12</v>
      </c>
      <c r="F45" s="2" t="s">
        <v>31</v>
      </c>
      <c r="G45" s="2">
        <v>54</v>
      </c>
      <c r="H45" s="2">
        <v>180</v>
      </c>
      <c r="I45" s="2">
        <v>54</v>
      </c>
    </row>
    <row r="46" spans="1:9" ht="15.75" x14ac:dyDescent="0.25">
      <c r="A46" s="1">
        <v>46061</v>
      </c>
      <c r="B46" s="2" t="s">
        <v>36</v>
      </c>
      <c r="C46" s="2" t="s">
        <v>35</v>
      </c>
      <c r="D46" s="2" t="s">
        <v>15</v>
      </c>
      <c r="E46" s="2" t="s">
        <v>12</v>
      </c>
      <c r="F46" s="2" t="s">
        <v>31</v>
      </c>
      <c r="G46" s="2">
        <v>67</v>
      </c>
      <c r="H46" s="2">
        <v>200</v>
      </c>
      <c r="I46" s="2">
        <v>49</v>
      </c>
    </row>
    <row r="47" spans="1:9" ht="15.75" x14ac:dyDescent="0.25">
      <c r="A47" s="1">
        <v>46049</v>
      </c>
      <c r="B47" s="2" t="s">
        <v>37</v>
      </c>
      <c r="C47" s="2" t="s">
        <v>35</v>
      </c>
      <c r="D47" s="2" t="s">
        <v>11</v>
      </c>
      <c r="E47" s="2" t="s">
        <v>12</v>
      </c>
      <c r="F47" s="2" t="s">
        <v>31</v>
      </c>
      <c r="G47" s="2">
        <v>30</v>
      </c>
      <c r="H47" s="2">
        <v>100</v>
      </c>
      <c r="I47" s="2">
        <v>26</v>
      </c>
    </row>
    <row r="48" spans="1:9" ht="15.75" x14ac:dyDescent="0.25">
      <c r="A48" s="1">
        <v>46062</v>
      </c>
      <c r="B48" s="2" t="s">
        <v>32</v>
      </c>
      <c r="C48" s="2" t="s">
        <v>10</v>
      </c>
      <c r="D48" s="2" t="s">
        <v>22</v>
      </c>
      <c r="E48" s="2" t="s">
        <v>23</v>
      </c>
      <c r="F48" s="2" t="s">
        <v>31</v>
      </c>
      <c r="G48" s="2">
        <v>68</v>
      </c>
      <c r="H48" s="2">
        <v>210</v>
      </c>
      <c r="I48" s="2">
        <v>58</v>
      </c>
    </row>
    <row r="49" spans="1:9" ht="15.75" x14ac:dyDescent="0.25">
      <c r="A49" s="1">
        <v>46058</v>
      </c>
      <c r="B49" s="2" t="s">
        <v>32</v>
      </c>
      <c r="C49" s="2" t="s">
        <v>10</v>
      </c>
      <c r="D49" s="2" t="s">
        <v>24</v>
      </c>
      <c r="E49" s="2" t="s">
        <v>23</v>
      </c>
      <c r="F49" s="2" t="s">
        <v>31</v>
      </c>
      <c r="G49" s="2">
        <v>367</v>
      </c>
      <c r="H49" s="2">
        <v>494</v>
      </c>
      <c r="I49" s="2">
        <v>55</v>
      </c>
    </row>
    <row r="50" spans="1:9" ht="15.75" x14ac:dyDescent="0.25">
      <c r="A50" s="1">
        <v>46129</v>
      </c>
      <c r="B50" s="2" t="s">
        <v>32</v>
      </c>
      <c r="C50" s="2" t="s">
        <v>10</v>
      </c>
      <c r="D50" s="2" t="s">
        <v>25</v>
      </c>
      <c r="E50" s="2" t="s">
        <v>23</v>
      </c>
      <c r="F50" s="2" t="s">
        <v>31</v>
      </c>
      <c r="G50" s="2">
        <v>262</v>
      </c>
      <c r="H50" s="2">
        <v>678</v>
      </c>
      <c r="I50" s="2">
        <v>145</v>
      </c>
    </row>
    <row r="52" spans="1:9" x14ac:dyDescent="0.25">
      <c r="H52">
        <f>SUM(H2:H50)</f>
        <v>11046</v>
      </c>
    </row>
  </sheetData>
  <dataValidations count="1">
    <dataValidation type="list" allowBlank="1" showInputMessage="1" showErrorMessage="1" sqref="K23" xr:uid="{4A637BC6-9F71-454C-B8AC-03449EAA6A72}">
      <formula1>$C$2:$C$50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AF8D-7913-48AF-86E2-17535C7CD225}">
  <dimension ref="A1:D14"/>
  <sheetViews>
    <sheetView zoomScale="130" zoomScaleNormal="130" workbookViewId="0">
      <selection activeCell="E12" sqref="E12"/>
    </sheetView>
  </sheetViews>
  <sheetFormatPr defaultRowHeight="15" x14ac:dyDescent="0.25"/>
  <cols>
    <col min="1" max="1" width="22.140625" bestFit="1" customWidth="1"/>
  </cols>
  <sheetData>
    <row r="1" spans="1:4" ht="24" x14ac:dyDescent="0.4">
      <c r="A1" s="3" t="s">
        <v>8</v>
      </c>
      <c r="B1" t="s">
        <v>54</v>
      </c>
      <c r="D1" t="s">
        <v>53</v>
      </c>
    </row>
    <row r="2" spans="1:4" ht="15.75" x14ac:dyDescent="0.25">
      <c r="A2" s="2">
        <v>38</v>
      </c>
      <c r="B2">
        <f>IFERROR( A2/$D$2, "dividing with 0")</f>
        <v>12.666666666666666</v>
      </c>
      <c r="D2">
        <v>3</v>
      </c>
    </row>
    <row r="3" spans="1:4" ht="15.75" x14ac:dyDescent="0.25">
      <c r="A3" s="2">
        <v>52</v>
      </c>
      <c r="B3">
        <f t="shared" ref="B3:B14" si="0">IFERROR( A3/$D$2, "dividing with 0")</f>
        <v>17.333333333333332</v>
      </c>
    </row>
    <row r="4" spans="1:4" ht="15.75" x14ac:dyDescent="0.25">
      <c r="A4" s="2">
        <v>87</v>
      </c>
      <c r="B4">
        <f t="shared" si="0"/>
        <v>29</v>
      </c>
    </row>
    <row r="5" spans="1:4" ht="15.75" x14ac:dyDescent="0.25">
      <c r="A5" s="2">
        <v>55</v>
      </c>
      <c r="B5">
        <f t="shared" si="0"/>
        <v>18.333333333333332</v>
      </c>
    </row>
    <row r="6" spans="1:4" ht="15.75" x14ac:dyDescent="0.25">
      <c r="A6" s="2">
        <v>88</v>
      </c>
      <c r="B6">
        <f t="shared" si="0"/>
        <v>29.333333333333332</v>
      </c>
    </row>
    <row r="7" spans="1:4" ht="15.75" x14ac:dyDescent="0.25">
      <c r="A7" s="2">
        <v>56</v>
      </c>
      <c r="B7">
        <f t="shared" si="0"/>
        <v>18.666666666666668</v>
      </c>
    </row>
    <row r="8" spans="1:4" ht="15.75" x14ac:dyDescent="0.25">
      <c r="A8" s="2">
        <v>72</v>
      </c>
      <c r="B8">
        <f t="shared" si="0"/>
        <v>24</v>
      </c>
    </row>
    <row r="9" spans="1:4" ht="15.75" x14ac:dyDescent="0.25">
      <c r="A9" s="2">
        <v>35</v>
      </c>
      <c r="B9">
        <f t="shared" si="0"/>
        <v>11.666666666666666</v>
      </c>
    </row>
    <row r="10" spans="1:4" ht="15.75" x14ac:dyDescent="0.25">
      <c r="A10" s="2">
        <v>19</v>
      </c>
      <c r="B10">
        <f t="shared" si="0"/>
        <v>6.333333333333333</v>
      </c>
    </row>
    <row r="11" spans="1:4" ht="15.75" x14ac:dyDescent="0.25">
      <c r="A11" s="2">
        <v>87</v>
      </c>
      <c r="B11">
        <f t="shared" si="0"/>
        <v>29</v>
      </c>
    </row>
    <row r="12" spans="1:4" ht="15.75" x14ac:dyDescent="0.25">
      <c r="A12" s="2">
        <v>39</v>
      </c>
      <c r="B12">
        <f t="shared" si="0"/>
        <v>13</v>
      </c>
    </row>
    <row r="13" spans="1:4" ht="15.75" x14ac:dyDescent="0.25">
      <c r="A13" s="2">
        <v>19</v>
      </c>
      <c r="B13">
        <f t="shared" si="0"/>
        <v>6.333333333333333</v>
      </c>
    </row>
    <row r="14" spans="1:4" ht="15.75" x14ac:dyDescent="0.25">
      <c r="A14" s="2">
        <v>47</v>
      </c>
      <c r="B14">
        <f t="shared" si="0"/>
        <v>15.666666666666666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Main 1</vt:lpstr>
      <vt:lpstr>Question</vt:lpstr>
      <vt:lpstr>For Error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DELL_4</dc:creator>
  <cp:lastModifiedBy>DELL_4</cp:lastModifiedBy>
  <dcterms:created xsi:type="dcterms:W3CDTF">2026-01-13T04:45:31Z</dcterms:created>
  <dcterms:modified xsi:type="dcterms:W3CDTF">2026-01-14T08:47:42Z</dcterms:modified>
</cp:coreProperties>
</file>